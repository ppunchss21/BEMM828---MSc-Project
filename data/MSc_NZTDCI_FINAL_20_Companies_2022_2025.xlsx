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unch/Desktop/MSc Project /use/"/>
    </mc:Choice>
  </mc:AlternateContent>
  <xr:revisionPtr revIDLastSave="0" documentId="8_{109D45B6-5852-2243-AD4F-6CAEF64124B8}" xr6:coauthVersionLast="47" xr6:coauthVersionMax="47" xr10:uidLastSave="{00000000-0000-0000-0000-000000000000}"/>
  <bookViews>
    <workbookView xWindow="20" yWindow="600" windowWidth="28780" windowHeight="16540" activeTab="5" xr2:uid="{00000000-000D-0000-FFFF-FFFF00000000}"/>
  </bookViews>
  <sheets>
    <sheet name="Criteria_Manual" sheetId="3" r:id="rId1"/>
    <sheet name="Official_Report_Sources" sheetId="4" r:id="rId2"/>
    <sheet name="PDF_Download_Manifest" sheetId="5" r:id="rId3"/>
    <sheet name="Coding_800" sheetId="6" r:id="rId4"/>
    <sheet name="Summary" sheetId="7" r:id="rId5"/>
    <sheet name="Financial_Data_Thai" sheetId="8" r:id="rId6"/>
    <sheet name="Benchmark_Comparison" sheetId="9" r:id="rId7"/>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81" i="7" l="1"/>
  <c r="I81" i="7" s="1"/>
  <c r="H6" i="9" s="1"/>
  <c r="G81" i="7"/>
  <c r="D81" i="7"/>
  <c r="J81" i="7" s="1"/>
  <c r="I80" i="7"/>
  <c r="G6" i="9" s="1"/>
  <c r="H80" i="7"/>
  <c r="G80" i="7"/>
  <c r="D80" i="7"/>
  <c r="J80" i="7" s="1"/>
  <c r="J79" i="7"/>
  <c r="H79" i="7"/>
  <c r="I79" i="7" s="1"/>
  <c r="F6" i="9" s="1"/>
  <c r="G79" i="7"/>
  <c r="D79" i="7"/>
  <c r="I78" i="7"/>
  <c r="E6" i="9" s="1"/>
  <c r="H78" i="7"/>
  <c r="G78" i="7"/>
  <c r="D78" i="7"/>
  <c r="J78" i="7" s="1"/>
  <c r="H77" i="7"/>
  <c r="I77" i="7" s="1"/>
  <c r="H5" i="9" s="1"/>
  <c r="G77" i="7"/>
  <c r="D77" i="7"/>
  <c r="J77" i="7" s="1"/>
  <c r="J76" i="7"/>
  <c r="H76" i="7"/>
  <c r="I76" i="7" s="1"/>
  <c r="G5" i="9" s="1"/>
  <c r="G76" i="7"/>
  <c r="D76" i="7"/>
  <c r="I75" i="7"/>
  <c r="F5" i="9" s="1"/>
  <c r="H75" i="7"/>
  <c r="G75" i="7"/>
  <c r="D75" i="7"/>
  <c r="J75" i="7" s="1"/>
  <c r="I74" i="7"/>
  <c r="E5" i="9" s="1"/>
  <c r="H74" i="7"/>
  <c r="G74" i="7"/>
  <c r="D74" i="7"/>
  <c r="J74" i="7" s="1"/>
  <c r="H73" i="7"/>
  <c r="I73" i="7" s="1"/>
  <c r="H4" i="9" s="1"/>
  <c r="G73" i="7"/>
  <c r="D73" i="7"/>
  <c r="J73" i="7" s="1"/>
  <c r="J72" i="7"/>
  <c r="H72" i="7"/>
  <c r="I72" i="7" s="1"/>
  <c r="G4" i="9" s="1"/>
  <c r="G72" i="7"/>
  <c r="D72" i="7"/>
  <c r="J71" i="7"/>
  <c r="H71" i="7"/>
  <c r="I71" i="7" s="1"/>
  <c r="F4" i="9" s="1"/>
  <c r="G71" i="7"/>
  <c r="D71" i="7"/>
  <c r="I70" i="7"/>
  <c r="E4" i="9" s="1"/>
  <c r="H70" i="7"/>
  <c r="G70" i="7"/>
  <c r="D70" i="7"/>
  <c r="J70" i="7" s="1"/>
  <c r="H69" i="7"/>
  <c r="I69" i="7" s="1"/>
  <c r="H3" i="9" s="1"/>
  <c r="G69" i="7"/>
  <c r="D69" i="7"/>
  <c r="J69" i="7" s="1"/>
  <c r="H68" i="7"/>
  <c r="I68" i="7" s="1"/>
  <c r="G3" i="9" s="1"/>
  <c r="G68" i="7"/>
  <c r="D68" i="7"/>
  <c r="J68" i="7" s="1"/>
  <c r="I67" i="7"/>
  <c r="F3" i="9" s="1"/>
  <c r="H67" i="7"/>
  <c r="G67" i="7"/>
  <c r="D67" i="7"/>
  <c r="J67" i="7" s="1"/>
  <c r="J66" i="7"/>
  <c r="H66" i="7"/>
  <c r="I66" i="7" s="1"/>
  <c r="E3" i="9" s="1"/>
  <c r="G66" i="7"/>
  <c r="D66" i="7"/>
  <c r="I65" i="7"/>
  <c r="H65" i="7"/>
  <c r="G65" i="7"/>
  <c r="D65" i="7"/>
  <c r="J65" i="7" s="1"/>
  <c r="J64" i="7"/>
  <c r="H64" i="7"/>
  <c r="I64" i="7" s="1"/>
  <c r="G64" i="7"/>
  <c r="D64" i="7"/>
  <c r="J63" i="7"/>
  <c r="H63" i="7"/>
  <c r="I63" i="7" s="1"/>
  <c r="G63" i="7"/>
  <c r="D63" i="7"/>
  <c r="I62" i="7"/>
  <c r="E2" i="9" s="1"/>
  <c r="H62" i="7"/>
  <c r="G62" i="7"/>
  <c r="D62" i="7"/>
  <c r="J62" i="7" s="1"/>
  <c r="H61" i="7"/>
  <c r="I61" i="7" s="1"/>
  <c r="G61" i="7"/>
  <c r="D61" i="7"/>
  <c r="J61" i="7" s="1"/>
  <c r="H60" i="7"/>
  <c r="I60" i="7" s="1"/>
  <c r="G60" i="7"/>
  <c r="D60" i="7"/>
  <c r="J60" i="7" s="1"/>
  <c r="I59" i="7"/>
  <c r="H59" i="7"/>
  <c r="G59" i="7"/>
  <c r="D59" i="7"/>
  <c r="J59" i="7" s="1"/>
  <c r="J58" i="7"/>
  <c r="H58" i="7"/>
  <c r="I58" i="7" s="1"/>
  <c r="G58" i="7"/>
  <c r="E58" i="7"/>
  <c r="F58" i="7" s="1"/>
  <c r="D58" i="7"/>
  <c r="I57" i="7"/>
  <c r="H57" i="7"/>
  <c r="G57" i="7"/>
  <c r="D57" i="7"/>
  <c r="J57" i="7" s="1"/>
  <c r="J56" i="7"/>
  <c r="H56" i="7"/>
  <c r="I56" i="7" s="1"/>
  <c r="G56" i="7"/>
  <c r="D56" i="7"/>
  <c r="J55" i="7"/>
  <c r="H55" i="7"/>
  <c r="I55" i="7" s="1"/>
  <c r="G55" i="7"/>
  <c r="D55" i="7"/>
  <c r="I54" i="7"/>
  <c r="H54" i="7"/>
  <c r="G54" i="7"/>
  <c r="D54" i="7"/>
  <c r="J54" i="7" s="1"/>
  <c r="H53" i="7"/>
  <c r="I53" i="7" s="1"/>
  <c r="G53" i="7"/>
  <c r="D53" i="7"/>
  <c r="J53" i="7" s="1"/>
  <c r="H52" i="7"/>
  <c r="I52" i="7" s="1"/>
  <c r="G52" i="7"/>
  <c r="D52" i="7"/>
  <c r="J52" i="7" s="1"/>
  <c r="I51" i="7"/>
  <c r="H51" i="7"/>
  <c r="G51" i="7"/>
  <c r="D51" i="7"/>
  <c r="J51" i="7" s="1"/>
  <c r="J50" i="7"/>
  <c r="I50" i="7"/>
  <c r="H50" i="7"/>
  <c r="G50" i="7"/>
  <c r="D50" i="7"/>
  <c r="I49" i="7"/>
  <c r="H49" i="7"/>
  <c r="G49" i="7"/>
  <c r="D49" i="7"/>
  <c r="J49" i="7" s="1"/>
  <c r="J48" i="7"/>
  <c r="H48" i="7"/>
  <c r="I48" i="7" s="1"/>
  <c r="G48" i="7"/>
  <c r="D48" i="7"/>
  <c r="J47" i="7"/>
  <c r="H47" i="7"/>
  <c r="I47" i="7" s="1"/>
  <c r="G47" i="7"/>
  <c r="D47" i="7"/>
  <c r="I46" i="7"/>
  <c r="H46" i="7"/>
  <c r="G46" i="7"/>
  <c r="D46" i="7"/>
  <c r="J46" i="7" s="1"/>
  <c r="H45" i="7"/>
  <c r="I45" i="7" s="1"/>
  <c r="G45" i="7"/>
  <c r="D45" i="7"/>
  <c r="J45" i="7" s="1"/>
  <c r="H44" i="7"/>
  <c r="I44" i="7" s="1"/>
  <c r="G44" i="7"/>
  <c r="D44" i="7"/>
  <c r="J44" i="7" s="1"/>
  <c r="I43" i="7"/>
  <c r="H43" i="7"/>
  <c r="G43" i="7"/>
  <c r="D43" i="7"/>
  <c r="J43" i="7" s="1"/>
  <c r="J42" i="7"/>
  <c r="I42" i="7"/>
  <c r="H42" i="7"/>
  <c r="G42" i="7"/>
  <c r="D42" i="7"/>
  <c r="I41" i="7"/>
  <c r="H41" i="7"/>
  <c r="G41" i="7"/>
  <c r="D41" i="7"/>
  <c r="J41" i="7" s="1"/>
  <c r="J40" i="7"/>
  <c r="H40" i="7"/>
  <c r="I40" i="7" s="1"/>
  <c r="G40" i="7"/>
  <c r="D40" i="7"/>
  <c r="J39" i="7"/>
  <c r="H39" i="7"/>
  <c r="I39" i="7" s="1"/>
  <c r="G39" i="7"/>
  <c r="D39" i="7"/>
  <c r="I38" i="7"/>
  <c r="H38" i="7"/>
  <c r="G38" i="7"/>
  <c r="D38" i="7"/>
  <c r="J38" i="7" s="1"/>
  <c r="H37" i="7"/>
  <c r="I37" i="7" s="1"/>
  <c r="G37" i="7"/>
  <c r="D37" i="7"/>
  <c r="J37" i="7" s="1"/>
  <c r="H36" i="7"/>
  <c r="I36" i="7" s="1"/>
  <c r="G36" i="7"/>
  <c r="D36" i="7"/>
  <c r="J36" i="7" s="1"/>
  <c r="H35" i="7"/>
  <c r="I35" i="7" s="1"/>
  <c r="G35" i="7"/>
  <c r="D35" i="7"/>
  <c r="J35" i="7" s="1"/>
  <c r="J34" i="7"/>
  <c r="I34" i="7"/>
  <c r="H34" i="7"/>
  <c r="G34" i="7"/>
  <c r="D34" i="7"/>
  <c r="I33" i="7"/>
  <c r="H33" i="7"/>
  <c r="G33" i="7"/>
  <c r="D33" i="7"/>
  <c r="J33" i="7" s="1"/>
  <c r="J32" i="7"/>
  <c r="H32" i="7"/>
  <c r="I32" i="7" s="1"/>
  <c r="G32" i="7"/>
  <c r="D32" i="7"/>
  <c r="J31" i="7"/>
  <c r="H31" i="7"/>
  <c r="I31" i="7" s="1"/>
  <c r="G31" i="7"/>
  <c r="D31" i="7"/>
  <c r="J30" i="7"/>
  <c r="I30" i="7"/>
  <c r="H30" i="7"/>
  <c r="G30" i="7"/>
  <c r="D30" i="7"/>
  <c r="H29" i="7"/>
  <c r="I29" i="7" s="1"/>
  <c r="G29" i="7"/>
  <c r="D29" i="7"/>
  <c r="J29" i="7" s="1"/>
  <c r="H28" i="7"/>
  <c r="I28" i="7" s="1"/>
  <c r="G28" i="7"/>
  <c r="D28" i="7"/>
  <c r="J28" i="7" s="1"/>
  <c r="H27" i="7"/>
  <c r="I27" i="7" s="1"/>
  <c r="G27" i="7"/>
  <c r="D27" i="7"/>
  <c r="J27" i="7" s="1"/>
  <c r="J26" i="7"/>
  <c r="I26" i="7"/>
  <c r="H26" i="7"/>
  <c r="G26" i="7"/>
  <c r="D26" i="7"/>
  <c r="I25" i="7"/>
  <c r="H25" i="7"/>
  <c r="G25" i="7"/>
  <c r="D25" i="7"/>
  <c r="J25" i="7" s="1"/>
  <c r="H24" i="7"/>
  <c r="I24" i="7" s="1"/>
  <c r="G24" i="7"/>
  <c r="D24" i="7"/>
  <c r="J24" i="7" s="1"/>
  <c r="J23" i="7"/>
  <c r="H23" i="7"/>
  <c r="I23" i="7" s="1"/>
  <c r="G23" i="7"/>
  <c r="D23" i="7"/>
  <c r="J22" i="7"/>
  <c r="I22" i="7"/>
  <c r="H22" i="7"/>
  <c r="G22" i="7"/>
  <c r="D22" i="7"/>
  <c r="H21" i="7"/>
  <c r="I21" i="7" s="1"/>
  <c r="G21" i="7"/>
  <c r="D21" i="7"/>
  <c r="J21" i="7" s="1"/>
  <c r="H20" i="7"/>
  <c r="I20" i="7" s="1"/>
  <c r="G20" i="7"/>
  <c r="D20" i="7"/>
  <c r="J20" i="7" s="1"/>
  <c r="H19" i="7"/>
  <c r="I19" i="7" s="1"/>
  <c r="G19" i="7"/>
  <c r="D19" i="7"/>
  <c r="J19" i="7" s="1"/>
  <c r="J18" i="7"/>
  <c r="I18" i="7"/>
  <c r="H18" i="7"/>
  <c r="G18" i="7"/>
  <c r="D18" i="7"/>
  <c r="I17" i="7"/>
  <c r="H17" i="7"/>
  <c r="G17" i="7"/>
  <c r="D17" i="7"/>
  <c r="J17" i="7" s="1"/>
  <c r="H16" i="7"/>
  <c r="I16" i="7" s="1"/>
  <c r="G16" i="7"/>
  <c r="D16" i="7"/>
  <c r="J16" i="7" s="1"/>
  <c r="J15" i="7"/>
  <c r="H15" i="7"/>
  <c r="I15" i="7" s="1"/>
  <c r="G15" i="7"/>
  <c r="D15" i="7"/>
  <c r="J14" i="7"/>
  <c r="I14" i="7"/>
  <c r="H14" i="7"/>
  <c r="G14" i="7"/>
  <c r="D14" i="7"/>
  <c r="H13" i="7"/>
  <c r="I13" i="7" s="1"/>
  <c r="G13" i="7"/>
  <c r="D13" i="7"/>
  <c r="J13" i="7" s="1"/>
  <c r="H12" i="7"/>
  <c r="I12" i="7" s="1"/>
  <c r="G12" i="7"/>
  <c r="D12" i="7"/>
  <c r="J12" i="7" s="1"/>
  <c r="H11" i="7"/>
  <c r="I11" i="7" s="1"/>
  <c r="G11" i="7"/>
  <c r="D11" i="7"/>
  <c r="J11" i="7" s="1"/>
  <c r="J10" i="7"/>
  <c r="I10" i="7"/>
  <c r="H10" i="7"/>
  <c r="G10" i="7"/>
  <c r="D10" i="7"/>
  <c r="I9" i="7"/>
  <c r="H9" i="7"/>
  <c r="G9" i="7"/>
  <c r="D9" i="7"/>
  <c r="J9" i="7" s="1"/>
  <c r="H8" i="7"/>
  <c r="I8" i="7" s="1"/>
  <c r="G8" i="7"/>
  <c r="D8" i="7"/>
  <c r="J8" i="7" s="1"/>
  <c r="J7" i="7"/>
  <c r="H7" i="7"/>
  <c r="I7" i="7" s="1"/>
  <c r="G7" i="7"/>
  <c r="D7" i="7"/>
  <c r="J6" i="7"/>
  <c r="I6" i="7"/>
  <c r="H6" i="7"/>
  <c r="G6" i="7"/>
  <c r="D6" i="7"/>
  <c r="H5" i="7"/>
  <c r="I5" i="7" s="1"/>
  <c r="G5" i="7"/>
  <c r="D5" i="7"/>
  <c r="J5" i="7" s="1"/>
  <c r="H4" i="7"/>
  <c r="I4" i="7" s="1"/>
  <c r="G4" i="7"/>
  <c r="D4" i="7"/>
  <c r="J4" i="7" s="1"/>
  <c r="H3" i="7"/>
  <c r="I3" i="7" s="1"/>
  <c r="G3" i="7"/>
  <c r="D3" i="7"/>
  <c r="J3" i="7" s="1"/>
  <c r="J2" i="7"/>
  <c r="I2" i="7"/>
  <c r="H2" i="7"/>
  <c r="G2" i="7"/>
  <c r="D2" i="7"/>
  <c r="O801" i="6"/>
  <c r="O800" i="6"/>
  <c r="O799" i="6"/>
  <c r="O798" i="6"/>
  <c r="O797" i="6"/>
  <c r="O796" i="6"/>
  <c r="O795" i="6"/>
  <c r="O794" i="6"/>
  <c r="O793" i="6"/>
  <c r="O792" i="6"/>
  <c r="E81" i="7" s="1"/>
  <c r="F81" i="7" s="1"/>
  <c r="O791" i="6"/>
  <c r="O790" i="6"/>
  <c r="O789" i="6"/>
  <c r="O788" i="6"/>
  <c r="O787" i="6"/>
  <c r="O786" i="6"/>
  <c r="O785" i="6"/>
  <c r="O784" i="6"/>
  <c r="O783" i="6"/>
  <c r="O782" i="6"/>
  <c r="E80" i="7" s="1"/>
  <c r="F80" i="7" s="1"/>
  <c r="O781" i="6"/>
  <c r="O780" i="6"/>
  <c r="O779" i="6"/>
  <c r="O778" i="6"/>
  <c r="O777" i="6"/>
  <c r="O776" i="6"/>
  <c r="O775" i="6"/>
  <c r="O774" i="6"/>
  <c r="O773" i="6"/>
  <c r="O772" i="6"/>
  <c r="E79" i="7" s="1"/>
  <c r="F79" i="7" s="1"/>
  <c r="O771" i="6"/>
  <c r="O770" i="6"/>
  <c r="O769" i="6"/>
  <c r="O768" i="6"/>
  <c r="O767" i="6"/>
  <c r="O766" i="6"/>
  <c r="O765" i="6"/>
  <c r="O764" i="6"/>
  <c r="O763" i="6"/>
  <c r="O762" i="6"/>
  <c r="E78" i="7" s="1"/>
  <c r="F78" i="7" s="1"/>
  <c r="O761" i="6"/>
  <c r="O760" i="6"/>
  <c r="O759" i="6"/>
  <c r="O758" i="6"/>
  <c r="O757" i="6"/>
  <c r="O756" i="6"/>
  <c r="O755" i="6"/>
  <c r="O754" i="6"/>
  <c r="O753" i="6"/>
  <c r="O752" i="6"/>
  <c r="E77" i="7" s="1"/>
  <c r="F77" i="7" s="1"/>
  <c r="O751" i="6"/>
  <c r="O750" i="6"/>
  <c r="O749" i="6"/>
  <c r="O748" i="6"/>
  <c r="O747" i="6"/>
  <c r="O746" i="6"/>
  <c r="O745" i="6"/>
  <c r="O744" i="6"/>
  <c r="O743" i="6"/>
  <c r="O742" i="6"/>
  <c r="E76" i="7" s="1"/>
  <c r="F76" i="7" s="1"/>
  <c r="O741" i="6"/>
  <c r="O740" i="6"/>
  <c r="O739" i="6"/>
  <c r="O738" i="6"/>
  <c r="O737" i="6"/>
  <c r="O736" i="6"/>
  <c r="O735" i="6"/>
  <c r="O734" i="6"/>
  <c r="O733" i="6"/>
  <c r="O732" i="6"/>
  <c r="E75" i="7" s="1"/>
  <c r="F75" i="7" s="1"/>
  <c r="O731" i="6"/>
  <c r="O730" i="6"/>
  <c r="O729" i="6"/>
  <c r="O728" i="6"/>
  <c r="O727" i="6"/>
  <c r="O726" i="6"/>
  <c r="O725" i="6"/>
  <c r="O724" i="6"/>
  <c r="O723" i="6"/>
  <c r="E74" i="7" s="1"/>
  <c r="F74" i="7" s="1"/>
  <c r="O722" i="6"/>
  <c r="O721" i="6"/>
  <c r="O720" i="6"/>
  <c r="O719" i="6"/>
  <c r="O718" i="6"/>
  <c r="O717" i="6"/>
  <c r="O716" i="6"/>
  <c r="O715" i="6"/>
  <c r="O714" i="6"/>
  <c r="O713" i="6"/>
  <c r="O712" i="6"/>
  <c r="E73" i="7" s="1"/>
  <c r="F73" i="7" s="1"/>
  <c r="O711" i="6"/>
  <c r="O710" i="6"/>
  <c r="O709" i="6"/>
  <c r="O708" i="6"/>
  <c r="O707" i="6"/>
  <c r="O706" i="6"/>
  <c r="O705" i="6"/>
  <c r="O704" i="6"/>
  <c r="O703" i="6"/>
  <c r="O702" i="6"/>
  <c r="E72" i="7" s="1"/>
  <c r="F72" i="7" s="1"/>
  <c r="O701" i="6"/>
  <c r="O700" i="6"/>
  <c r="O699" i="6"/>
  <c r="O698" i="6"/>
  <c r="O697" i="6"/>
  <c r="O696" i="6"/>
  <c r="O695" i="6"/>
  <c r="O694" i="6"/>
  <c r="O693" i="6"/>
  <c r="O692" i="6"/>
  <c r="E71" i="7" s="1"/>
  <c r="F71" i="7" s="1"/>
  <c r="O691" i="6"/>
  <c r="O690" i="6"/>
  <c r="O689" i="6"/>
  <c r="O688" i="6"/>
  <c r="O687" i="6"/>
  <c r="O686" i="6"/>
  <c r="O685" i="6"/>
  <c r="O684" i="6"/>
  <c r="O683" i="6"/>
  <c r="O682" i="6"/>
  <c r="E70" i="7" s="1"/>
  <c r="F70" i="7" s="1"/>
  <c r="O681" i="6"/>
  <c r="O680" i="6"/>
  <c r="O679" i="6"/>
  <c r="O678" i="6"/>
  <c r="O677" i="6"/>
  <c r="O676" i="6"/>
  <c r="O675" i="6"/>
  <c r="O674" i="6"/>
  <c r="O673" i="6"/>
  <c r="O672" i="6"/>
  <c r="E69" i="7" s="1"/>
  <c r="F69" i="7" s="1"/>
  <c r="O671" i="6"/>
  <c r="O670" i="6"/>
  <c r="O669" i="6"/>
  <c r="O668" i="6"/>
  <c r="O667" i="6"/>
  <c r="O666" i="6"/>
  <c r="O665" i="6"/>
  <c r="O664" i="6"/>
  <c r="O663" i="6"/>
  <c r="O662" i="6"/>
  <c r="E68" i="7" s="1"/>
  <c r="F68" i="7" s="1"/>
  <c r="O661" i="6"/>
  <c r="O660" i="6"/>
  <c r="O659" i="6"/>
  <c r="O658" i="6"/>
  <c r="O657" i="6"/>
  <c r="O656" i="6"/>
  <c r="O655" i="6"/>
  <c r="O654" i="6"/>
  <c r="O653" i="6"/>
  <c r="O652" i="6"/>
  <c r="E67" i="7" s="1"/>
  <c r="F67" i="7" s="1"/>
  <c r="O651" i="6"/>
  <c r="O650" i="6"/>
  <c r="O649" i="6"/>
  <c r="O648" i="6"/>
  <c r="O647" i="6"/>
  <c r="O646" i="6"/>
  <c r="O645" i="6"/>
  <c r="O644" i="6"/>
  <c r="O643" i="6"/>
  <c r="E66" i="7" s="1"/>
  <c r="F66" i="7" s="1"/>
  <c r="O642" i="6"/>
  <c r="O641" i="6"/>
  <c r="O640" i="6"/>
  <c r="O639" i="6"/>
  <c r="O638" i="6"/>
  <c r="O637" i="6"/>
  <c r="O636" i="6"/>
  <c r="O635" i="6"/>
  <c r="O634" i="6"/>
  <c r="O633" i="6"/>
  <c r="O632" i="6"/>
  <c r="E65" i="7" s="1"/>
  <c r="F65" i="7" s="1"/>
  <c r="O631" i="6"/>
  <c r="O630" i="6"/>
  <c r="O629" i="6"/>
  <c r="O628" i="6"/>
  <c r="O627" i="6"/>
  <c r="O626" i="6"/>
  <c r="O625" i="6"/>
  <c r="O624" i="6"/>
  <c r="O623" i="6"/>
  <c r="O622" i="6"/>
  <c r="E64" i="7" s="1"/>
  <c r="F64" i="7" s="1"/>
  <c r="O621" i="6"/>
  <c r="O620" i="6"/>
  <c r="O619" i="6"/>
  <c r="O618" i="6"/>
  <c r="O617" i="6"/>
  <c r="O616" i="6"/>
  <c r="O615" i="6"/>
  <c r="O614" i="6"/>
  <c r="O613" i="6"/>
  <c r="O612" i="6"/>
  <c r="E63" i="7" s="1"/>
  <c r="F63" i="7" s="1"/>
  <c r="O611" i="6"/>
  <c r="O610" i="6"/>
  <c r="O609" i="6"/>
  <c r="O608" i="6"/>
  <c r="O607" i="6"/>
  <c r="O606" i="6"/>
  <c r="O605" i="6"/>
  <c r="O604" i="6"/>
  <c r="O603" i="6"/>
  <c r="O602" i="6"/>
  <c r="E62" i="7" s="1"/>
  <c r="F62" i="7" s="1"/>
  <c r="O601" i="6"/>
  <c r="O600" i="6"/>
  <c r="O599" i="6"/>
  <c r="O598" i="6"/>
  <c r="O597" i="6"/>
  <c r="O596" i="6"/>
  <c r="O595" i="6"/>
  <c r="O594" i="6"/>
  <c r="O593" i="6"/>
  <c r="O592" i="6"/>
  <c r="E61" i="7" s="1"/>
  <c r="F61" i="7" s="1"/>
  <c r="O591" i="6"/>
  <c r="O590" i="6"/>
  <c r="O589" i="6"/>
  <c r="O588" i="6"/>
  <c r="O587" i="6"/>
  <c r="O586" i="6"/>
  <c r="O585" i="6"/>
  <c r="O584" i="6"/>
  <c r="O583" i="6"/>
  <c r="O582" i="6"/>
  <c r="E60" i="7" s="1"/>
  <c r="F60" i="7" s="1"/>
  <c r="O581" i="6"/>
  <c r="O580" i="6"/>
  <c r="O579" i="6"/>
  <c r="O578" i="6"/>
  <c r="O577" i="6"/>
  <c r="O576" i="6"/>
  <c r="O575" i="6"/>
  <c r="O574" i="6"/>
  <c r="O573" i="6"/>
  <c r="O572" i="6"/>
  <c r="E59" i="7" s="1"/>
  <c r="F59" i="7" s="1"/>
  <c r="O571" i="6"/>
  <c r="O570" i="6"/>
  <c r="O569" i="6"/>
  <c r="O568" i="6"/>
  <c r="O567" i="6"/>
  <c r="O566" i="6"/>
  <c r="O565" i="6"/>
  <c r="O564" i="6"/>
  <c r="O563" i="6"/>
  <c r="O562" i="6"/>
  <c r="O561" i="6"/>
  <c r="O560" i="6"/>
  <c r="O559" i="6"/>
  <c r="O558" i="6"/>
  <c r="O557" i="6"/>
  <c r="O556" i="6"/>
  <c r="O555" i="6"/>
  <c r="O554" i="6"/>
  <c r="O553" i="6"/>
  <c r="O552" i="6"/>
  <c r="E57" i="7" s="1"/>
  <c r="F57" i="7" s="1"/>
  <c r="O551" i="6"/>
  <c r="O550" i="6"/>
  <c r="O549" i="6"/>
  <c r="O548" i="6"/>
  <c r="O547" i="6"/>
  <c r="O546" i="6"/>
  <c r="O545" i="6"/>
  <c r="O544" i="6"/>
  <c r="O543" i="6"/>
  <c r="O542" i="6"/>
  <c r="E56" i="7" s="1"/>
  <c r="F56" i="7" s="1"/>
  <c r="O541" i="6"/>
  <c r="O540" i="6"/>
  <c r="O539" i="6"/>
  <c r="O538" i="6"/>
  <c r="O537" i="6"/>
  <c r="O536" i="6"/>
  <c r="O535" i="6"/>
  <c r="O534" i="6"/>
  <c r="O533" i="6"/>
  <c r="O532" i="6"/>
  <c r="E55" i="7" s="1"/>
  <c r="F55" i="7" s="1"/>
  <c r="O531" i="6"/>
  <c r="O530" i="6"/>
  <c r="O529" i="6"/>
  <c r="O528" i="6"/>
  <c r="O527" i="6"/>
  <c r="O526" i="6"/>
  <c r="O525" i="6"/>
  <c r="O524" i="6"/>
  <c r="O523" i="6"/>
  <c r="O522" i="6"/>
  <c r="E54" i="7" s="1"/>
  <c r="F54" i="7" s="1"/>
  <c r="O521" i="6"/>
  <c r="O520" i="6"/>
  <c r="O519" i="6"/>
  <c r="O518" i="6"/>
  <c r="O517" i="6"/>
  <c r="O516" i="6"/>
  <c r="O515" i="6"/>
  <c r="O514" i="6"/>
  <c r="O513" i="6"/>
  <c r="O512" i="6"/>
  <c r="E53" i="7" s="1"/>
  <c r="F53" i="7" s="1"/>
  <c r="O511" i="6"/>
  <c r="O510" i="6"/>
  <c r="O509" i="6"/>
  <c r="O508" i="6"/>
  <c r="O507" i="6"/>
  <c r="O506" i="6"/>
  <c r="O505" i="6"/>
  <c r="O504" i="6"/>
  <c r="O503" i="6"/>
  <c r="O502" i="6"/>
  <c r="E52" i="7" s="1"/>
  <c r="F52" i="7" s="1"/>
  <c r="O501" i="6"/>
  <c r="O500" i="6"/>
  <c r="O499" i="6"/>
  <c r="O498" i="6"/>
  <c r="O497" i="6"/>
  <c r="O496" i="6"/>
  <c r="O495" i="6"/>
  <c r="O494" i="6"/>
  <c r="O493" i="6"/>
  <c r="O492" i="6"/>
  <c r="E51" i="7" s="1"/>
  <c r="F51" i="7" s="1"/>
  <c r="O491" i="6"/>
  <c r="O490" i="6"/>
  <c r="O489" i="6"/>
  <c r="O488" i="6"/>
  <c r="O487" i="6"/>
  <c r="O486" i="6"/>
  <c r="O485" i="6"/>
  <c r="O484" i="6"/>
  <c r="O483" i="6"/>
  <c r="E50" i="7" s="1"/>
  <c r="F50" i="7" s="1"/>
  <c r="O482" i="6"/>
  <c r="O481" i="6"/>
  <c r="O480" i="6"/>
  <c r="O479" i="6"/>
  <c r="O478" i="6"/>
  <c r="O477" i="6"/>
  <c r="O476" i="6"/>
  <c r="O475" i="6"/>
  <c r="O474" i="6"/>
  <c r="O473" i="6"/>
  <c r="O472" i="6"/>
  <c r="E49" i="7" s="1"/>
  <c r="F49" i="7" s="1"/>
  <c r="O471" i="6"/>
  <c r="O470" i="6"/>
  <c r="O469" i="6"/>
  <c r="O468" i="6"/>
  <c r="O467" i="6"/>
  <c r="O466" i="6"/>
  <c r="O465" i="6"/>
  <c r="O464" i="6"/>
  <c r="O463" i="6"/>
  <c r="O462" i="6"/>
  <c r="E48" i="7" s="1"/>
  <c r="F48" i="7" s="1"/>
  <c r="O461" i="6"/>
  <c r="O460" i="6"/>
  <c r="O459" i="6"/>
  <c r="O458" i="6"/>
  <c r="O457" i="6"/>
  <c r="O456" i="6"/>
  <c r="O455" i="6"/>
  <c r="O454" i="6"/>
  <c r="O453" i="6"/>
  <c r="O452" i="6"/>
  <c r="E47" i="7" s="1"/>
  <c r="F47" i="7" s="1"/>
  <c r="O451" i="6"/>
  <c r="O450" i="6"/>
  <c r="O449" i="6"/>
  <c r="O448" i="6"/>
  <c r="O447" i="6"/>
  <c r="O446" i="6"/>
  <c r="O445" i="6"/>
  <c r="O444" i="6"/>
  <c r="O443" i="6"/>
  <c r="O442" i="6"/>
  <c r="E46" i="7" s="1"/>
  <c r="F46" i="7" s="1"/>
  <c r="O441" i="6"/>
  <c r="O440" i="6"/>
  <c r="O439" i="6"/>
  <c r="O438" i="6"/>
  <c r="O437" i="6"/>
  <c r="O436" i="6"/>
  <c r="O435" i="6"/>
  <c r="O434" i="6"/>
  <c r="O433" i="6"/>
  <c r="O432" i="6"/>
  <c r="E45" i="7" s="1"/>
  <c r="F45" i="7" s="1"/>
  <c r="O431" i="6"/>
  <c r="O430" i="6"/>
  <c r="O429" i="6"/>
  <c r="O428" i="6"/>
  <c r="O427" i="6"/>
  <c r="O426" i="6"/>
  <c r="O425" i="6"/>
  <c r="O424" i="6"/>
  <c r="O423" i="6"/>
  <c r="O422" i="6"/>
  <c r="E44" i="7" s="1"/>
  <c r="F44" i="7" s="1"/>
  <c r="O421" i="6"/>
  <c r="O420" i="6"/>
  <c r="O419" i="6"/>
  <c r="O418" i="6"/>
  <c r="O417" i="6"/>
  <c r="O416" i="6"/>
  <c r="O415" i="6"/>
  <c r="O414" i="6"/>
  <c r="O413" i="6"/>
  <c r="O412" i="6"/>
  <c r="E43" i="7" s="1"/>
  <c r="F43" i="7" s="1"/>
  <c r="O411" i="6"/>
  <c r="O410" i="6"/>
  <c r="O409" i="6"/>
  <c r="O408" i="6"/>
  <c r="O407" i="6"/>
  <c r="O406" i="6"/>
  <c r="O405" i="6"/>
  <c r="O404" i="6"/>
  <c r="O403" i="6"/>
  <c r="E42" i="7" s="1"/>
  <c r="F42" i="7" s="1"/>
  <c r="O402" i="6"/>
  <c r="O401" i="6"/>
  <c r="O400" i="6"/>
  <c r="O399" i="6"/>
  <c r="O398" i="6"/>
  <c r="O397" i="6"/>
  <c r="O396" i="6"/>
  <c r="O395" i="6"/>
  <c r="O394" i="6"/>
  <c r="O393" i="6"/>
  <c r="O392" i="6"/>
  <c r="E41" i="7" s="1"/>
  <c r="F41" i="7" s="1"/>
  <c r="O391" i="6"/>
  <c r="O390" i="6"/>
  <c r="O389" i="6"/>
  <c r="O388" i="6"/>
  <c r="O387" i="6"/>
  <c r="O386" i="6"/>
  <c r="O385" i="6"/>
  <c r="O384" i="6"/>
  <c r="O383" i="6"/>
  <c r="O382" i="6"/>
  <c r="E40" i="7" s="1"/>
  <c r="F40" i="7" s="1"/>
  <c r="O381" i="6"/>
  <c r="O380" i="6"/>
  <c r="O379" i="6"/>
  <c r="O378" i="6"/>
  <c r="O377" i="6"/>
  <c r="O376" i="6"/>
  <c r="O375" i="6"/>
  <c r="O374" i="6"/>
  <c r="O373" i="6"/>
  <c r="O372" i="6"/>
  <c r="E39" i="7" s="1"/>
  <c r="F39" i="7" s="1"/>
  <c r="O371" i="6"/>
  <c r="O370" i="6"/>
  <c r="O369" i="6"/>
  <c r="O368" i="6"/>
  <c r="O367" i="6"/>
  <c r="O366" i="6"/>
  <c r="O365" i="6"/>
  <c r="O364" i="6"/>
  <c r="O363" i="6"/>
  <c r="O362" i="6"/>
  <c r="E38" i="7" s="1"/>
  <c r="F38" i="7" s="1"/>
  <c r="O361" i="6"/>
  <c r="O360" i="6"/>
  <c r="O359" i="6"/>
  <c r="O358" i="6"/>
  <c r="O357" i="6"/>
  <c r="O356" i="6"/>
  <c r="O355" i="6"/>
  <c r="O354" i="6"/>
  <c r="O353" i="6"/>
  <c r="O352" i="6"/>
  <c r="E37" i="7" s="1"/>
  <c r="F37" i="7" s="1"/>
  <c r="O351" i="6"/>
  <c r="O350" i="6"/>
  <c r="O349" i="6"/>
  <c r="O348" i="6"/>
  <c r="O347" i="6"/>
  <c r="O346" i="6"/>
  <c r="O345" i="6"/>
  <c r="O344" i="6"/>
  <c r="O343" i="6"/>
  <c r="O342" i="6"/>
  <c r="E36" i="7" s="1"/>
  <c r="F36" i="7" s="1"/>
  <c r="O341" i="6"/>
  <c r="O340" i="6"/>
  <c r="O339" i="6"/>
  <c r="O338" i="6"/>
  <c r="O337" i="6"/>
  <c r="O336" i="6"/>
  <c r="O335" i="6"/>
  <c r="O334" i="6"/>
  <c r="O333" i="6"/>
  <c r="O332" i="6"/>
  <c r="E35" i="7" s="1"/>
  <c r="F35" i="7" s="1"/>
  <c r="O331" i="6"/>
  <c r="O330" i="6"/>
  <c r="O329" i="6"/>
  <c r="O328" i="6"/>
  <c r="O327" i="6"/>
  <c r="O326" i="6"/>
  <c r="O325" i="6"/>
  <c r="O324" i="6"/>
  <c r="O323" i="6"/>
  <c r="E34" i="7" s="1"/>
  <c r="F34" i="7" s="1"/>
  <c r="O322" i="6"/>
  <c r="O321" i="6"/>
  <c r="O320" i="6"/>
  <c r="O319" i="6"/>
  <c r="O318" i="6"/>
  <c r="O317" i="6"/>
  <c r="O316" i="6"/>
  <c r="O315" i="6"/>
  <c r="O314" i="6"/>
  <c r="O313" i="6"/>
  <c r="O312" i="6"/>
  <c r="E33" i="7" s="1"/>
  <c r="F33" i="7" s="1"/>
  <c r="O311" i="6"/>
  <c r="O310" i="6"/>
  <c r="O309" i="6"/>
  <c r="O308" i="6"/>
  <c r="O307" i="6"/>
  <c r="O306" i="6"/>
  <c r="O305" i="6"/>
  <c r="O304" i="6"/>
  <c r="O303" i="6"/>
  <c r="O302" i="6"/>
  <c r="E32" i="7" s="1"/>
  <c r="F32" i="7" s="1"/>
  <c r="O301" i="6"/>
  <c r="O300" i="6"/>
  <c r="O299" i="6"/>
  <c r="O298" i="6"/>
  <c r="O297" i="6"/>
  <c r="O296" i="6"/>
  <c r="O295" i="6"/>
  <c r="O294" i="6"/>
  <c r="O293" i="6"/>
  <c r="O292" i="6"/>
  <c r="E31" i="7" s="1"/>
  <c r="F31" i="7" s="1"/>
  <c r="O291" i="6"/>
  <c r="O290" i="6"/>
  <c r="O289" i="6"/>
  <c r="O288" i="6"/>
  <c r="O287" i="6"/>
  <c r="O286" i="6"/>
  <c r="O285" i="6"/>
  <c r="O284" i="6"/>
  <c r="O283" i="6"/>
  <c r="O282" i="6"/>
  <c r="E30" i="7" s="1"/>
  <c r="F30" i="7" s="1"/>
  <c r="O281" i="6"/>
  <c r="O280" i="6"/>
  <c r="O279" i="6"/>
  <c r="O278" i="6"/>
  <c r="O277" i="6"/>
  <c r="O276" i="6"/>
  <c r="O275" i="6"/>
  <c r="O274" i="6"/>
  <c r="O273" i="6"/>
  <c r="O272" i="6"/>
  <c r="E29" i="7" s="1"/>
  <c r="F29" i="7" s="1"/>
  <c r="O271" i="6"/>
  <c r="O270" i="6"/>
  <c r="O269" i="6"/>
  <c r="O268" i="6"/>
  <c r="O267" i="6"/>
  <c r="O266" i="6"/>
  <c r="O265" i="6"/>
  <c r="O264" i="6"/>
  <c r="O263" i="6"/>
  <c r="O262" i="6"/>
  <c r="E28" i="7" s="1"/>
  <c r="F28" i="7" s="1"/>
  <c r="O261" i="6"/>
  <c r="O260" i="6"/>
  <c r="O259" i="6"/>
  <c r="O258" i="6"/>
  <c r="O257" i="6"/>
  <c r="O256" i="6"/>
  <c r="O255" i="6"/>
  <c r="O254" i="6"/>
  <c r="O253" i="6"/>
  <c r="O252" i="6"/>
  <c r="E27" i="7" s="1"/>
  <c r="F27" i="7" s="1"/>
  <c r="O251" i="6"/>
  <c r="O250" i="6"/>
  <c r="O249" i="6"/>
  <c r="O248" i="6"/>
  <c r="O247" i="6"/>
  <c r="O246" i="6"/>
  <c r="O245" i="6"/>
  <c r="O244" i="6"/>
  <c r="O243" i="6"/>
  <c r="E26" i="7" s="1"/>
  <c r="F26" i="7" s="1"/>
  <c r="O242" i="6"/>
  <c r="O241" i="6"/>
  <c r="O240" i="6"/>
  <c r="O239" i="6"/>
  <c r="O238" i="6"/>
  <c r="O237" i="6"/>
  <c r="O236" i="6"/>
  <c r="O235" i="6"/>
  <c r="O234" i="6"/>
  <c r="O233" i="6"/>
  <c r="O232" i="6"/>
  <c r="E25" i="7" s="1"/>
  <c r="F25" i="7" s="1"/>
  <c r="O231" i="6"/>
  <c r="O230" i="6"/>
  <c r="O229" i="6"/>
  <c r="O228" i="6"/>
  <c r="O227" i="6"/>
  <c r="O226" i="6"/>
  <c r="O225" i="6"/>
  <c r="O224" i="6"/>
  <c r="O223" i="6"/>
  <c r="O222" i="6"/>
  <c r="E24" i="7" s="1"/>
  <c r="F24" i="7" s="1"/>
  <c r="O221" i="6"/>
  <c r="O220" i="6"/>
  <c r="O219" i="6"/>
  <c r="O218" i="6"/>
  <c r="O217" i="6"/>
  <c r="O216" i="6"/>
  <c r="O215" i="6"/>
  <c r="O214" i="6"/>
  <c r="O213" i="6"/>
  <c r="O212" i="6"/>
  <c r="E23" i="7" s="1"/>
  <c r="F23" i="7" s="1"/>
  <c r="O211" i="6"/>
  <c r="O210" i="6"/>
  <c r="O209" i="6"/>
  <c r="O208" i="6"/>
  <c r="O207" i="6"/>
  <c r="O206" i="6"/>
  <c r="O205" i="6"/>
  <c r="O204" i="6"/>
  <c r="O203" i="6"/>
  <c r="O202" i="6"/>
  <c r="E22" i="7" s="1"/>
  <c r="F22" i="7" s="1"/>
  <c r="O201" i="6"/>
  <c r="O200" i="6"/>
  <c r="O199" i="6"/>
  <c r="O198" i="6"/>
  <c r="O197" i="6"/>
  <c r="O196" i="6"/>
  <c r="O195" i="6"/>
  <c r="O194" i="6"/>
  <c r="O193" i="6"/>
  <c r="O192" i="6"/>
  <c r="E21" i="7" s="1"/>
  <c r="F21" i="7" s="1"/>
  <c r="O191" i="6"/>
  <c r="O190" i="6"/>
  <c r="O189" i="6"/>
  <c r="O188" i="6"/>
  <c r="O187" i="6"/>
  <c r="O186" i="6"/>
  <c r="O185" i="6"/>
  <c r="O184" i="6"/>
  <c r="O183" i="6"/>
  <c r="O182" i="6"/>
  <c r="E20" i="7" s="1"/>
  <c r="F20" i="7" s="1"/>
  <c r="O181" i="6"/>
  <c r="O180" i="6"/>
  <c r="O179" i="6"/>
  <c r="O178" i="6"/>
  <c r="O177" i="6"/>
  <c r="O176" i="6"/>
  <c r="O175" i="6"/>
  <c r="O174" i="6"/>
  <c r="O173" i="6"/>
  <c r="O172" i="6"/>
  <c r="E19" i="7" s="1"/>
  <c r="F19" i="7" s="1"/>
  <c r="O171" i="6"/>
  <c r="O170" i="6"/>
  <c r="O169" i="6"/>
  <c r="O168" i="6"/>
  <c r="O167" i="6"/>
  <c r="O166" i="6"/>
  <c r="O165" i="6"/>
  <c r="O164" i="6"/>
  <c r="O163" i="6"/>
  <c r="E18" i="7" s="1"/>
  <c r="F18" i="7" s="1"/>
  <c r="O162" i="6"/>
  <c r="O161" i="6"/>
  <c r="O160" i="6"/>
  <c r="O159" i="6"/>
  <c r="O158" i="6"/>
  <c r="O157" i="6"/>
  <c r="O156" i="6"/>
  <c r="O155" i="6"/>
  <c r="O154" i="6"/>
  <c r="O153" i="6"/>
  <c r="O152" i="6"/>
  <c r="E17" i="7" s="1"/>
  <c r="F17" i="7" s="1"/>
  <c r="O151" i="6"/>
  <c r="O150" i="6"/>
  <c r="O149" i="6"/>
  <c r="O148" i="6"/>
  <c r="O147" i="6"/>
  <c r="O146" i="6"/>
  <c r="O145" i="6"/>
  <c r="O144" i="6"/>
  <c r="O143" i="6"/>
  <c r="O142" i="6"/>
  <c r="E16" i="7" s="1"/>
  <c r="F16" i="7" s="1"/>
  <c r="O141" i="6"/>
  <c r="O140" i="6"/>
  <c r="O139" i="6"/>
  <c r="O138" i="6"/>
  <c r="O137" i="6"/>
  <c r="O136" i="6"/>
  <c r="O135" i="6"/>
  <c r="O134" i="6"/>
  <c r="O133" i="6"/>
  <c r="O132" i="6"/>
  <c r="E15" i="7" s="1"/>
  <c r="F15" i="7" s="1"/>
  <c r="O131" i="6"/>
  <c r="O130" i="6"/>
  <c r="O129" i="6"/>
  <c r="O128" i="6"/>
  <c r="O127" i="6"/>
  <c r="O126" i="6"/>
  <c r="O125" i="6"/>
  <c r="O124" i="6"/>
  <c r="O123" i="6"/>
  <c r="O122" i="6"/>
  <c r="E14" i="7" s="1"/>
  <c r="F14" i="7" s="1"/>
  <c r="O121" i="6"/>
  <c r="O120" i="6"/>
  <c r="O119" i="6"/>
  <c r="O118" i="6"/>
  <c r="O117" i="6"/>
  <c r="O116" i="6"/>
  <c r="O115" i="6"/>
  <c r="O114" i="6"/>
  <c r="O113" i="6"/>
  <c r="O112" i="6"/>
  <c r="E13" i="7" s="1"/>
  <c r="F13" i="7" s="1"/>
  <c r="O111" i="6"/>
  <c r="O110" i="6"/>
  <c r="O109" i="6"/>
  <c r="O108" i="6"/>
  <c r="O107" i="6"/>
  <c r="O106" i="6"/>
  <c r="O105" i="6"/>
  <c r="O104" i="6"/>
  <c r="O103" i="6"/>
  <c r="O102" i="6"/>
  <c r="E12" i="7" s="1"/>
  <c r="F12" i="7" s="1"/>
  <c r="O101" i="6"/>
  <c r="O100" i="6"/>
  <c r="O99" i="6"/>
  <c r="O98" i="6"/>
  <c r="O97" i="6"/>
  <c r="O96" i="6"/>
  <c r="O95" i="6"/>
  <c r="O94" i="6"/>
  <c r="O93" i="6"/>
  <c r="O92" i="6"/>
  <c r="E11" i="7" s="1"/>
  <c r="F11" i="7" s="1"/>
  <c r="O91" i="6"/>
  <c r="O90" i="6"/>
  <c r="O89" i="6"/>
  <c r="O88" i="6"/>
  <c r="O87" i="6"/>
  <c r="O86" i="6"/>
  <c r="O85" i="6"/>
  <c r="O84" i="6"/>
  <c r="O83" i="6"/>
  <c r="E10" i="7" s="1"/>
  <c r="F10" i="7" s="1"/>
  <c r="O82" i="6"/>
  <c r="O81" i="6"/>
  <c r="O80" i="6"/>
  <c r="O79" i="6"/>
  <c r="O78" i="6"/>
  <c r="O77" i="6"/>
  <c r="O76" i="6"/>
  <c r="O75" i="6"/>
  <c r="O74" i="6"/>
  <c r="O73" i="6"/>
  <c r="O72" i="6"/>
  <c r="E9" i="7" s="1"/>
  <c r="F9" i="7" s="1"/>
  <c r="O71" i="6"/>
  <c r="O70" i="6"/>
  <c r="O69" i="6"/>
  <c r="O68" i="6"/>
  <c r="O67" i="6"/>
  <c r="O66" i="6"/>
  <c r="O65" i="6"/>
  <c r="O64" i="6"/>
  <c r="O63" i="6"/>
  <c r="O62" i="6"/>
  <c r="E8" i="7" s="1"/>
  <c r="F8" i="7" s="1"/>
  <c r="O61" i="6"/>
  <c r="O60" i="6"/>
  <c r="O59" i="6"/>
  <c r="O58" i="6"/>
  <c r="O57" i="6"/>
  <c r="O56" i="6"/>
  <c r="O55" i="6"/>
  <c r="O54" i="6"/>
  <c r="O53" i="6"/>
  <c r="O52" i="6"/>
  <c r="E7" i="7" s="1"/>
  <c r="F7" i="7" s="1"/>
  <c r="O51" i="6"/>
  <c r="O50" i="6"/>
  <c r="O49" i="6"/>
  <c r="O48" i="6"/>
  <c r="O47" i="6"/>
  <c r="O46" i="6"/>
  <c r="O45" i="6"/>
  <c r="O44" i="6"/>
  <c r="O43" i="6"/>
  <c r="O42" i="6"/>
  <c r="E6" i="7" s="1"/>
  <c r="F6" i="7" s="1"/>
  <c r="O41" i="6"/>
  <c r="O40" i="6"/>
  <c r="O39" i="6"/>
  <c r="O38" i="6"/>
  <c r="O37" i="6"/>
  <c r="O36" i="6"/>
  <c r="O35" i="6"/>
  <c r="O34" i="6"/>
  <c r="O33" i="6"/>
  <c r="O32" i="6"/>
  <c r="E5" i="7" s="1"/>
  <c r="F5" i="7" s="1"/>
  <c r="O31" i="6"/>
  <c r="O30" i="6"/>
  <c r="O29" i="6"/>
  <c r="O28" i="6"/>
  <c r="O27" i="6"/>
  <c r="O26" i="6"/>
  <c r="O25" i="6"/>
  <c r="O24" i="6"/>
  <c r="E4" i="7" s="1"/>
  <c r="F4" i="7" s="1"/>
  <c r="O23" i="6"/>
  <c r="O22" i="6"/>
  <c r="O21" i="6"/>
  <c r="O20" i="6"/>
  <c r="O19" i="6"/>
  <c r="O18" i="6"/>
  <c r="O17" i="6"/>
  <c r="O16" i="6"/>
  <c r="O15" i="6"/>
  <c r="O14" i="6"/>
  <c r="O13" i="6"/>
  <c r="O12" i="6"/>
  <c r="E3" i="7" s="1"/>
  <c r="F3" i="7" s="1"/>
  <c r="O11" i="6"/>
  <c r="O10" i="6"/>
  <c r="O9" i="6"/>
  <c r="O8" i="6"/>
  <c r="O7" i="6"/>
  <c r="O6" i="6"/>
  <c r="O5" i="6"/>
  <c r="O4" i="6"/>
  <c r="O3" i="6"/>
  <c r="E2" i="7" s="1"/>
  <c r="F2" i="7" s="1"/>
  <c r="O2" i="6"/>
  <c r="G2" i="9" l="1"/>
  <c r="F2" i="9"/>
  <c r="H2" i="9"/>
</calcChain>
</file>

<file path=xl/sharedStrings.xml><?xml version="1.0" encoding="utf-8"?>
<sst xmlns="http://schemas.openxmlformats.org/spreadsheetml/2006/main" count="12176" uniqueCount="1781">
  <si>
    <t>Ticker</t>
  </si>
  <si>
    <t>Company</t>
  </si>
  <si>
    <t>Country</t>
  </si>
  <si>
    <t>Sector</t>
  </si>
  <si>
    <t>Type</t>
  </si>
  <si>
    <t>PTT</t>
  </si>
  <si>
    <t>PTT Public Company Limited</t>
  </si>
  <si>
    <t>Thailand</t>
  </si>
  <si>
    <t>Energy</t>
  </si>
  <si>
    <t>Thai Main Sample</t>
  </si>
  <si>
    <t>PTTEP</t>
  </si>
  <si>
    <t>PTT Exploration and Production Public Company Limited</t>
  </si>
  <si>
    <t>GPSC</t>
  </si>
  <si>
    <t>Global Power Synergy Public Company Limited</t>
  </si>
  <si>
    <t>GULF</t>
  </si>
  <si>
    <t>Gulf Development / predecessor GULF</t>
  </si>
  <si>
    <t>KBANK</t>
  </si>
  <si>
    <t>Kasikornbank Public Company Limited</t>
  </si>
  <si>
    <t>Banking</t>
  </si>
  <si>
    <t>SCBX</t>
  </si>
  <si>
    <t>SCB X Public Company Limited</t>
  </si>
  <si>
    <t>Financial Services</t>
  </si>
  <si>
    <t>SCC</t>
  </si>
  <si>
    <t>The Siam Cement Public Company Limited (SCG)</t>
  </si>
  <si>
    <t>Materials</t>
  </si>
  <si>
    <t>CPALL</t>
  </si>
  <si>
    <t>CP ALL Public Company Limited</t>
  </si>
  <si>
    <t>Retail</t>
  </si>
  <si>
    <t>CPN</t>
  </si>
  <si>
    <t>Central Pattana Public Company Limited</t>
  </si>
  <si>
    <t>Property</t>
  </si>
  <si>
    <t>ADVANC</t>
  </si>
  <si>
    <t>Advanced Info Service Public Company Limited (AIS)</t>
  </si>
  <si>
    <t>Telecom</t>
  </si>
  <si>
    <t>BCP</t>
  </si>
  <si>
    <t>Bangchak Corporation Public Company Limited</t>
  </si>
  <si>
    <t>AOT</t>
  </si>
  <si>
    <t>Airports of Thailand Public Company Limited</t>
  </si>
  <si>
    <t>Transport</t>
  </si>
  <si>
    <t>BBL</t>
  </si>
  <si>
    <t>Bangkok Bank Public Company Limited</t>
  </si>
  <si>
    <t>DELTA</t>
  </si>
  <si>
    <t>Delta Electronics (Thailand) Public Company Limited</t>
  </si>
  <si>
    <t>Electronics</t>
  </si>
  <si>
    <t>BDMS</t>
  </si>
  <si>
    <t>Bangkok Dusit Medical Services Public Company Limited</t>
  </si>
  <si>
    <t>Healthcare</t>
  </si>
  <si>
    <t>HSBC</t>
  </si>
  <si>
    <t>HSBC Holdings plc</t>
  </si>
  <si>
    <t>United Kingdom</t>
  </si>
  <si>
    <t>International Benchmark</t>
  </si>
  <si>
    <t>No</t>
  </si>
  <si>
    <t>HEIDELBERG</t>
  </si>
  <si>
    <t>Heidelberg Materials AG</t>
  </si>
  <si>
    <t>Germany</t>
  </si>
  <si>
    <t>UNILEVER</t>
  </si>
  <si>
    <t>Unilever PLC</t>
  </si>
  <si>
    <t>Consumer Goods</t>
  </si>
  <si>
    <t>MAERSK</t>
  </si>
  <si>
    <t>A.P. Moller - Maersk A/S</t>
  </si>
  <si>
    <t>Denmark</t>
  </si>
  <si>
    <t>Transport / Logistics</t>
  </si>
  <si>
    <t>HOLCIM</t>
  </si>
  <si>
    <t>Holcim Ltd</t>
  </si>
  <si>
    <t>Switzerland</t>
  </si>
  <si>
    <t>Materials / Construction</t>
  </si>
  <si>
    <t>Criterion</t>
  </si>
  <si>
    <t>Name</t>
  </si>
  <si>
    <t>Score 1 Rule</t>
  </si>
  <si>
    <t>Score 0 Rule</t>
  </si>
  <si>
    <t>Q1</t>
  </si>
  <si>
    <t>Time-Bound Net-Zero Target</t>
  </si>
  <si>
    <t>1 = explicit company net-zero target + target year</t>
  </si>
  <si>
    <t>0 = generic/national ambition or no company target year</t>
  </si>
  <si>
    <t>Q2</t>
  </si>
  <si>
    <t>Measurable Interim Emissions-Reduction Target</t>
  </si>
  <si>
    <t>1 = quantitative interim emissions target + target year + baseline/reference</t>
  </si>
  <si>
    <t>0 = qualitative/incomplete target</t>
  </si>
  <si>
    <t>Q3</t>
  </si>
  <si>
    <t>SBTi-Validated Target</t>
  </si>
  <si>
    <t>1 = official SBTi validation applies to observation year</t>
  </si>
  <si>
    <t>0 = aligned/committed/planned/pending or no validation</t>
  </si>
  <si>
    <t>Q4</t>
  </si>
  <si>
    <t>Quantitative Scope 1 and Scope 2 Disclosure</t>
  </si>
  <si>
    <t>1 = numerical Scope 1 AND Scope 2 with unit/reporting period</t>
  </si>
  <si>
    <t>0 = one scope only or insufficient quantitative disclosure</t>
  </si>
  <si>
    <t>Q5</t>
  </si>
  <si>
    <t>Quantitative Scope 3 Disclosure</t>
  </si>
  <si>
    <t>1 = numerical Scope 3 total/material category; financed emissions may qualify for banks</t>
  </si>
  <si>
    <t>0 = discussion without quantitative disclosure</t>
  </si>
  <si>
    <t>Q6</t>
  </si>
  <si>
    <t>Comparable Multi-Year Emissions Data</t>
  </si>
  <si>
    <t>1 = at least 2 comparable years of relevant emissions data</t>
  </si>
  <si>
    <t>0 = single year or materially non-comparable</t>
  </si>
  <si>
    <t>Q7</t>
  </si>
  <si>
    <t>Transition Implementation &amp; Resource Allocation</t>
  </si>
  <si>
    <t>1 = concrete transition action linked to measurable financial/operational resources</t>
  </si>
  <si>
    <t>0 = generic activity without resource/implementation evidence</t>
  </si>
  <si>
    <t>Q8</t>
  </si>
  <si>
    <t>Board-Level Climate Oversight</t>
  </si>
  <si>
    <t>1 = board or board-level committee explicitly oversees climate</t>
  </si>
  <si>
    <t>0 = management-only or no explicit board responsibility</t>
  </si>
  <si>
    <t>Q9</t>
  </si>
  <si>
    <t>Measurable Progress Against Targets</t>
  </si>
  <si>
    <t>1 = quantitative actual performance compared with target/baseline/pathway/prior period</t>
  </si>
  <si>
    <t>0 = no measurable target/progress comparison</t>
  </si>
  <si>
    <t>Q10</t>
  </si>
  <si>
    <t>Independent External Assurance</t>
  </si>
  <si>
    <t>1 = independent assurance covers relevant GHG/climate/sustainability data</t>
  </si>
  <si>
    <t>0 = financial audit only or no relevant assurance</t>
  </si>
  <si>
    <t>Annual/One Report Hub</t>
  </si>
  <si>
    <t>Sustainability/Climate Hub</t>
  </si>
  <si>
    <t>2022</t>
  </si>
  <si>
    <t>2023</t>
  </si>
  <si>
    <t>2024</t>
  </si>
  <si>
    <t>2025</t>
  </si>
  <si>
    <t>Notes</t>
  </si>
  <si>
    <t>https://investor.pttplc.com/en/downloads/yearly-reports</t>
  </si>
  <si>
    <t>https://www.pttplc.com/en/sustainability</t>
  </si>
  <si>
    <t>Download from official hub</t>
  </si>
  <si>
    <t>https://www.pttep.com/en/investor-relations/document/annual-reports</t>
  </si>
  <si>
    <t>https://sustainability.pttep.com/en/document/sustainability-reports</t>
  </si>
  <si>
    <t>https://www.gpscgroup.com/en/investor-relations/downloads/one-reports</t>
  </si>
  <si>
    <t>https://www.gpscgroup.com/en/downloads/sd-report</t>
  </si>
  <si>
    <t>https://sustainability.gulf.co.th/en/document/sustainability-reports</t>
  </si>
  <si>
    <t>https://sustainability.gulf.co.th/en/document/sustainability-reports/archive</t>
  </si>
  <si>
    <t>https://www.kasikornbank.com/en/ir/finaninforeports/pages/financial-reports.aspx</t>
  </si>
  <si>
    <t>https://www.kasikornbank.com/en/sustainable-development/Pages/goals.aspx</t>
  </si>
  <si>
    <t>https://www.scbx.com/en/investor-relations/</t>
  </si>
  <si>
    <t>https://www.scbx.com/th/sustainability/report-and-disclosures/</t>
  </si>
  <si>
    <t>https://scc.listedcompany.com/</t>
  </si>
  <si>
    <t>https://www.scgsustainability.com/en/</t>
  </si>
  <si>
    <t>https://www.cpall.co.th/en/investor/news-publications/publication/annual-report/</t>
  </si>
  <si>
    <t>https://www.cpall.co.th/sustain/sd-report/</t>
  </si>
  <si>
    <t>https://investor.centralpattana.co.th/</t>
  </si>
  <si>
    <t>https://sustainability.centralpattana.co.th/en/document/sustainability-reports</t>
  </si>
  <si>
    <t>https://investor.ais.co.th/en/document/annual-reports</t>
  </si>
  <si>
    <t>https://sustainability.ais.co.th/</t>
  </si>
  <si>
    <t>https://investor.bangchak.co.th/en/document/annual-reports</t>
  </si>
  <si>
    <t>https://investor.bangchak.co.th/en/resource-center</t>
  </si>
  <si>
    <t>https://investor.airportthai.co.th/download.html</t>
  </si>
  <si>
    <t>https://corporatestrategy.airportthai.co.th/en/sd/sd-report/</t>
  </si>
  <si>
    <t>https://www.bangkokbank.com/en/Investor-Relations/Financial-Information</t>
  </si>
  <si>
    <t>https://www.bangkokbank.com/en/About-Us/Sustainability</t>
  </si>
  <si>
    <t>https://www.deltathailand.com/en/annual-form-56-1</t>
  </si>
  <si>
    <t>https://www.deltathailand.com/en/ESG</t>
  </si>
  <si>
    <t>https://investor.bdms.co.th/en/downloads/one-report</t>
  </si>
  <si>
    <t>https://investor.bdms.co.th/en/downloads/sustainability-report</t>
  </si>
  <si>
    <t>https://www.hsbc.com/investors/results-and-announcements/annual-report</t>
  </si>
  <si>
    <t>https://www.hsbc.com/who-we-are/esg-and-responsible-business/esg-reporting-centre</t>
  </si>
  <si>
    <t>https://www.heidelbergmaterials.com/en/company/annual-reports-sustainability-reports</t>
  </si>
  <si>
    <t>https://www.heidelbergmaterials.com/en/sustainability/esg-documents-and-policies</t>
  </si>
  <si>
    <t>https://www.unilever.com/investors/annual-report-and-accounts/</t>
  </si>
  <si>
    <t>https://www.unilever.com/sustainability/climate/our-climate-transition-action-plan/</t>
  </si>
  <si>
    <t>https://investor.maersk.com/financials/annual-reports</t>
  </si>
  <si>
    <t>https://www.maersk.com/sustainability/reports-and-resources</t>
  </si>
  <si>
    <t>https://www.holcim.com/investors/publications</t>
  </si>
  <si>
    <t>https://www.holcim.com/sustainability/esg/esg-policies-documents-reports</t>
  </si>
  <si>
    <t>Official Holcim archive lists reports for 2022, 2023, 2024 and 2025. Use the Integrated Annual Report plus Climate/Sustainability materials for each year.</t>
  </si>
  <si>
    <t>Year</t>
  </si>
  <si>
    <t>Priority</t>
  </si>
  <si>
    <t>What to Download</t>
  </si>
  <si>
    <t>Official Hub</t>
  </si>
  <si>
    <t>Suggested Filename</t>
  </si>
  <si>
    <t>Downloaded?</t>
  </si>
  <si>
    <t>Checked?</t>
  </si>
  <si>
    <t>Annual / One Report</t>
  </si>
  <si>
    <t>CORE</t>
  </si>
  <si>
    <t>Annual Report / Form 56-1 One Report covering this observation year</t>
  </si>
  <si>
    <t>PTT_2022_Annual_OneReport.pdf</t>
  </si>
  <si>
    <t>Sustainability / Climate</t>
  </si>
  <si>
    <t>Sustainability / ESG / Climate report covering this observation year</t>
  </si>
  <si>
    <t>PTT_2022_Sustainability_Climate.pdf</t>
  </si>
  <si>
    <t>Assurance / Data / Transition Plan</t>
  </si>
  <si>
    <t>SUPPLEMENT</t>
  </si>
  <si>
    <t>Separate assurance, ESG data book, TCFD/IFRS S2 or transition plan if the main report does not contain the evidence</t>
  </si>
  <si>
    <t>PTT_2022_Supplement.pdf</t>
  </si>
  <si>
    <t>Only download if separate/relevant</t>
  </si>
  <si>
    <t>PTT_2023_Annual_OneReport.pdf</t>
  </si>
  <si>
    <t>PTT_2023_Sustainability_Climate.pdf</t>
  </si>
  <si>
    <t>PTT_2023_Supplement.pdf</t>
  </si>
  <si>
    <t>PTT_2024_Annual_OneReport.pdf</t>
  </si>
  <si>
    <t>PTT_2024_Sustainability_Climate.pdf</t>
  </si>
  <si>
    <t>PTT_2024_Supplement.pdf</t>
  </si>
  <si>
    <t>PTT_2025_Annual_OneReport.pdf</t>
  </si>
  <si>
    <t>PTT_2025_Sustainability_Climate.pdf</t>
  </si>
  <si>
    <t>PTT_2025_Supplement.pdf</t>
  </si>
  <si>
    <t>PTTEP_2022_Annual_OneReport.pdf</t>
  </si>
  <si>
    <t>PTTEP_2022_Sustainability_Climate.pdf</t>
  </si>
  <si>
    <t>PTTEP_2022_Supplement.pdf</t>
  </si>
  <si>
    <t>PTTEP_2023_Annual_OneReport.pdf</t>
  </si>
  <si>
    <t>PTTEP_2023_Sustainability_Climate.pdf</t>
  </si>
  <si>
    <t>PTTEP_2023_Supplement.pdf</t>
  </si>
  <si>
    <t>PTTEP_2024_Annual_OneReport.pdf</t>
  </si>
  <si>
    <t>PTTEP_2024_Sustainability_Climate.pdf</t>
  </si>
  <si>
    <t>PTTEP_2024_Supplement.pdf</t>
  </si>
  <si>
    <t>PTTEP_2025_Annual_OneReport.pdf</t>
  </si>
  <si>
    <t>PTTEP_2025_Sustainability_Climate.pdf</t>
  </si>
  <si>
    <t>PTTEP_2025_Supplement.pdf</t>
  </si>
  <si>
    <t>GPSC_2022_Annual_OneReport.pdf</t>
  </si>
  <si>
    <t>GPSC_2022_Sustainability_Climate.pdf</t>
  </si>
  <si>
    <t>GPSC_2022_Supplement.pdf</t>
  </si>
  <si>
    <t>GPSC_2023_Annual_OneReport.pdf</t>
  </si>
  <si>
    <t>GPSC_2023_Sustainability_Climate.pdf</t>
  </si>
  <si>
    <t>GPSC_2023_Supplement.pdf</t>
  </si>
  <si>
    <t>GPSC_2024_Annual_OneReport.pdf</t>
  </si>
  <si>
    <t>GPSC_2024_Sustainability_Climate.pdf</t>
  </si>
  <si>
    <t>GPSC_2024_Supplement.pdf</t>
  </si>
  <si>
    <t>GPSC_2025_Annual_OneReport.pdf</t>
  </si>
  <si>
    <t>GPSC_2025_Sustainability_Climate.pdf</t>
  </si>
  <si>
    <t>GPSC_2025_Supplement.pdf</t>
  </si>
  <si>
    <t>GULF_2022_Annual_OneReport.pdf</t>
  </si>
  <si>
    <t>GULF_2022_Sustainability_Climate.pdf</t>
  </si>
  <si>
    <t>GULF_2022_Supplement.pdf</t>
  </si>
  <si>
    <t>GULF_2023_Annual_OneReport.pdf</t>
  </si>
  <si>
    <t>GULF_2023_Sustainability_Climate.pdf</t>
  </si>
  <si>
    <t>GULF_2023_Supplement.pdf</t>
  </si>
  <si>
    <t>GULF_2024_Annual_OneReport.pdf</t>
  </si>
  <si>
    <t>GULF_2024_Sustainability_Climate.pdf</t>
  </si>
  <si>
    <t>GULF_2024_Supplement.pdf</t>
  </si>
  <si>
    <t>GULF_2025_Annual_OneReport.pdf</t>
  </si>
  <si>
    <t>GULF_2025_Sustainability_Climate.pdf</t>
  </si>
  <si>
    <t>GULF_2025_Supplement.pdf</t>
  </si>
  <si>
    <t>KBANK_2022_Annual_OneReport.pdf</t>
  </si>
  <si>
    <t>KBANK_2022_Sustainability_Climate.pdf</t>
  </si>
  <si>
    <t>KBANK_2022_Supplement.pdf</t>
  </si>
  <si>
    <t>KBANK_2023_Annual_OneReport.pdf</t>
  </si>
  <si>
    <t>KBANK_2023_Sustainability_Climate.pdf</t>
  </si>
  <si>
    <t>KBANK_2023_Supplement.pdf</t>
  </si>
  <si>
    <t>KBANK_2024_Annual_OneReport.pdf</t>
  </si>
  <si>
    <t>KBANK_2024_Sustainability_Climate.pdf</t>
  </si>
  <si>
    <t>KBANK_2024_Supplement.pdf</t>
  </si>
  <si>
    <t>KBANK_2025_Annual_OneReport.pdf</t>
  </si>
  <si>
    <t>KBANK_2025_Sustainability_Climate.pdf</t>
  </si>
  <si>
    <t>KBANK_2025_Supplement.pdf</t>
  </si>
  <si>
    <t>SCBX_2022_Annual_OneReport.pdf</t>
  </si>
  <si>
    <t>SCBX_2022_Sustainability_Climate.pdf</t>
  </si>
  <si>
    <t>SCBX_2022_Supplement.pdf</t>
  </si>
  <si>
    <t>SCBX_2023_Annual_OneReport.pdf</t>
  </si>
  <si>
    <t>SCBX_2023_Sustainability_Climate.pdf</t>
  </si>
  <si>
    <t>SCBX_2023_Supplement.pdf</t>
  </si>
  <si>
    <t>SCBX_2024_Annual_OneReport.pdf</t>
  </si>
  <si>
    <t>SCBX_2024_Sustainability_Climate.pdf</t>
  </si>
  <si>
    <t>SCBX_2024_Supplement.pdf</t>
  </si>
  <si>
    <t>SCBX_2025_Annual_OneReport.pdf</t>
  </si>
  <si>
    <t>SCBX_2025_Sustainability_Climate.pdf</t>
  </si>
  <si>
    <t>SCBX_2025_Supplement.pdf</t>
  </si>
  <si>
    <t>SCC_2022_Annual_OneReport.pdf</t>
  </si>
  <si>
    <t>SCC_2022_Sustainability_Climate.pdf</t>
  </si>
  <si>
    <t>SCC_2022_Supplement.pdf</t>
  </si>
  <si>
    <t>SCC_2023_Annual_OneReport.pdf</t>
  </si>
  <si>
    <t>SCC_2023_Sustainability_Climate.pdf</t>
  </si>
  <si>
    <t>SCC_2023_Supplement.pdf</t>
  </si>
  <si>
    <t>SCC_2024_Annual_OneReport.pdf</t>
  </si>
  <si>
    <t>SCC_2024_Sustainability_Climate.pdf</t>
  </si>
  <si>
    <t>SCC_2024_Supplement.pdf</t>
  </si>
  <si>
    <t>SCC_2025_Annual_OneReport.pdf</t>
  </si>
  <si>
    <t>SCC_2025_Sustainability_Climate.pdf</t>
  </si>
  <si>
    <t>SCC_2025_Supplement.pdf</t>
  </si>
  <si>
    <t>CPALL_2022_Annual_OneReport.pdf</t>
  </si>
  <si>
    <t>CPALL_2022_Sustainability_Climate.pdf</t>
  </si>
  <si>
    <t>CPALL_2022_Supplement.pdf</t>
  </si>
  <si>
    <t>CPALL_2023_Annual_OneReport.pdf</t>
  </si>
  <si>
    <t>CPALL_2023_Sustainability_Climate.pdf</t>
  </si>
  <si>
    <t>CPALL_2023_Supplement.pdf</t>
  </si>
  <si>
    <t>CPALL_2024_Annual_OneReport.pdf</t>
  </si>
  <si>
    <t>CPALL_2024_Sustainability_Climate.pdf</t>
  </si>
  <si>
    <t>CPALL_2024_Supplement.pdf</t>
  </si>
  <si>
    <t>CPALL_2025_Annual_OneReport.pdf</t>
  </si>
  <si>
    <t>CPALL_2025_Sustainability_Climate.pdf</t>
  </si>
  <si>
    <t>CPALL_2025_Supplement.pdf</t>
  </si>
  <si>
    <t>CPN_2022_Annual_OneReport.pdf</t>
  </si>
  <si>
    <t>CPN_2022_Sustainability_Climate.pdf</t>
  </si>
  <si>
    <t>CPN_2022_Supplement.pdf</t>
  </si>
  <si>
    <t>CPN_2023_Annual_OneReport.pdf</t>
  </si>
  <si>
    <t>CPN_2023_Sustainability_Climate.pdf</t>
  </si>
  <si>
    <t>CPN_2023_Supplement.pdf</t>
  </si>
  <si>
    <t>CPN_2024_Annual_OneReport.pdf</t>
  </si>
  <si>
    <t>CPN_2024_Sustainability_Climate.pdf</t>
  </si>
  <si>
    <t>CPN_2024_Supplement.pdf</t>
  </si>
  <si>
    <t>CPN_2025_Annual_OneReport.pdf</t>
  </si>
  <si>
    <t>CPN_2025_Sustainability_Climate.pdf</t>
  </si>
  <si>
    <t>CPN_2025_Supplement.pdf</t>
  </si>
  <si>
    <t>ADVANC_2022_Annual_OneReport.pdf</t>
  </si>
  <si>
    <t>ADVANC_2022_Sustainability_Climate.pdf</t>
  </si>
  <si>
    <t>ADVANC_2022_Supplement.pdf</t>
  </si>
  <si>
    <t>ADVANC_2023_Annual_OneReport.pdf</t>
  </si>
  <si>
    <t>ADVANC_2023_Sustainability_Climate.pdf</t>
  </si>
  <si>
    <t>ADVANC_2023_Supplement.pdf</t>
  </si>
  <si>
    <t>ADVANC_2024_Annual_OneReport.pdf</t>
  </si>
  <si>
    <t>ADVANC_2024_Sustainability_Climate.pdf</t>
  </si>
  <si>
    <t>ADVANC_2024_Supplement.pdf</t>
  </si>
  <si>
    <t>ADVANC_2025_Annual_OneReport.pdf</t>
  </si>
  <si>
    <t>ADVANC_2025_Sustainability_Climate.pdf</t>
  </si>
  <si>
    <t>ADVANC_2025_Supplement.pdf</t>
  </si>
  <si>
    <t>BCP_2022_Annual_OneReport.pdf</t>
  </si>
  <si>
    <t>BCP_2022_Sustainability_Climate.pdf</t>
  </si>
  <si>
    <t>BCP_2022_Supplement.pdf</t>
  </si>
  <si>
    <t>BCP_2023_Annual_OneReport.pdf</t>
  </si>
  <si>
    <t>BCP_2023_Sustainability_Climate.pdf</t>
  </si>
  <si>
    <t>BCP_2023_Supplement.pdf</t>
  </si>
  <si>
    <t>BCP_2024_Annual_OneReport.pdf</t>
  </si>
  <si>
    <t>BCP_2024_Sustainability_Climate.pdf</t>
  </si>
  <si>
    <t>BCP_2024_Supplement.pdf</t>
  </si>
  <si>
    <t>BCP_2025_Annual_OneReport.pdf</t>
  </si>
  <si>
    <t>BCP_2025_Sustainability_Climate.pdf</t>
  </si>
  <si>
    <t>BCP_2025_Supplement.pdf</t>
  </si>
  <si>
    <t>AOT_2022_Annual_OneReport.pdf</t>
  </si>
  <si>
    <t>AOT_2022_Sustainability_Climate.pdf</t>
  </si>
  <si>
    <t>AOT_2022_Supplement.pdf</t>
  </si>
  <si>
    <t>AOT_2023_Annual_OneReport.pdf</t>
  </si>
  <si>
    <t>AOT_2023_Sustainability_Climate.pdf</t>
  </si>
  <si>
    <t>AOT_2023_Supplement.pdf</t>
  </si>
  <si>
    <t>AOT_2024_Annual_OneReport.pdf</t>
  </si>
  <si>
    <t>AOT_2024_Sustainability_Climate.pdf</t>
  </si>
  <si>
    <t>AOT_2024_Supplement.pdf</t>
  </si>
  <si>
    <t>AOT_2025_Annual_OneReport.pdf</t>
  </si>
  <si>
    <t>AOT_2025_Sustainability_Climate.pdf</t>
  </si>
  <si>
    <t>AOT_2025_Supplement.pdf</t>
  </si>
  <si>
    <t>BBL_2022_Annual_OneReport.pdf</t>
  </si>
  <si>
    <t>BBL_2022_Sustainability_Climate.pdf</t>
  </si>
  <si>
    <t>BBL_2022_Supplement.pdf</t>
  </si>
  <si>
    <t>BBL_2023_Annual_OneReport.pdf</t>
  </si>
  <si>
    <t>BBL_2023_Sustainability_Climate.pdf</t>
  </si>
  <si>
    <t>BBL_2023_Supplement.pdf</t>
  </si>
  <si>
    <t>BBL_2024_Annual_OneReport.pdf</t>
  </si>
  <si>
    <t>BBL_2024_Sustainability_Climate.pdf</t>
  </si>
  <si>
    <t>BBL_2024_Supplement.pdf</t>
  </si>
  <si>
    <t>BBL_2025_Annual_OneReport.pdf</t>
  </si>
  <si>
    <t>BBL_2025_Sustainability_Climate.pdf</t>
  </si>
  <si>
    <t>BBL_2025_Supplement.pdf</t>
  </si>
  <si>
    <t>DELTA_2022_Annual_OneReport.pdf</t>
  </si>
  <si>
    <t>DELTA_2022_Sustainability_Climate.pdf</t>
  </si>
  <si>
    <t>DELTA_2022_Supplement.pdf</t>
  </si>
  <si>
    <t>DELTA_2023_Annual_OneReport.pdf</t>
  </si>
  <si>
    <t>DELTA_2023_Sustainability_Climate.pdf</t>
  </si>
  <si>
    <t>DELTA_2023_Supplement.pdf</t>
  </si>
  <si>
    <t>DELTA_2024_Annual_OneReport.pdf</t>
  </si>
  <si>
    <t>DELTA_2024_Sustainability_Climate.pdf</t>
  </si>
  <si>
    <t>DELTA_2024_Supplement.pdf</t>
  </si>
  <si>
    <t>DELTA_2025_Annual_OneReport.pdf</t>
  </si>
  <si>
    <t>DELTA_2025_Sustainability_Climate.pdf</t>
  </si>
  <si>
    <t>DELTA_2025_Supplement.pdf</t>
  </si>
  <si>
    <t>BDMS_2022_Annual_OneReport.pdf</t>
  </si>
  <si>
    <t>BDMS_2022_Sustainability_Climate.pdf</t>
  </si>
  <si>
    <t>BDMS_2022_Supplement.pdf</t>
  </si>
  <si>
    <t>BDMS_2023_Annual_OneReport.pdf</t>
  </si>
  <si>
    <t>BDMS_2023_Sustainability_Climate.pdf</t>
  </si>
  <si>
    <t>BDMS_2023_Supplement.pdf</t>
  </si>
  <si>
    <t>BDMS_2024_Annual_OneReport.pdf</t>
  </si>
  <si>
    <t>BDMS_2024_Sustainability_Climate.pdf</t>
  </si>
  <si>
    <t>BDMS_2024_Supplement.pdf</t>
  </si>
  <si>
    <t>BDMS_2025_Annual_OneReport.pdf</t>
  </si>
  <si>
    <t>BDMS_2025_Sustainability_Climate.pdf</t>
  </si>
  <si>
    <t>BDMS_2025_Supplement.pdf</t>
  </si>
  <si>
    <t>HSBC_2022_Annual_OneReport.pdf</t>
  </si>
  <si>
    <t>HSBC_2022_Sustainability_Climate.pdf</t>
  </si>
  <si>
    <t>HSBC_2022_Supplement.pdf</t>
  </si>
  <si>
    <t>HSBC_2023_Annual_OneReport.pdf</t>
  </si>
  <si>
    <t>HSBC_2023_Sustainability_Climate.pdf</t>
  </si>
  <si>
    <t>HSBC_2023_Supplement.pdf</t>
  </si>
  <si>
    <t>HSBC_2024_Annual_OneReport.pdf</t>
  </si>
  <si>
    <t>HSBC_2024_Sustainability_Climate.pdf</t>
  </si>
  <si>
    <t>HSBC_2024_Supplement.pdf</t>
  </si>
  <si>
    <t>HSBC_2025_Annual_OneReport.pdf</t>
  </si>
  <si>
    <t>HSBC_2025_Sustainability_Climate.pdf</t>
  </si>
  <si>
    <t>HSBC_2025_Supplement.pdf</t>
  </si>
  <si>
    <t>HEIDELBERG_2022_Annual_OneReport.pdf</t>
  </si>
  <si>
    <t>HEIDELBERG_2022_Sustainability_Climate.pdf</t>
  </si>
  <si>
    <t>HEIDELBERG_2022_Supplement.pdf</t>
  </si>
  <si>
    <t>HEIDELBERG_2023_Annual_OneReport.pdf</t>
  </si>
  <si>
    <t>HEIDELBERG_2023_Sustainability_Climate.pdf</t>
  </si>
  <si>
    <t>HEIDELBERG_2023_Supplement.pdf</t>
  </si>
  <si>
    <t>HEIDELBERG_2024_Annual_OneReport.pdf</t>
  </si>
  <si>
    <t>HEIDELBERG_2024_Sustainability_Climate.pdf</t>
  </si>
  <si>
    <t>HEIDELBERG_2024_Supplement.pdf</t>
  </si>
  <si>
    <t>HEIDELBERG_2025_Annual_OneReport.pdf</t>
  </si>
  <si>
    <t>HEIDELBERG_2025_Sustainability_Climate.pdf</t>
  </si>
  <si>
    <t>HEIDELBERG_2025_Supplement.pdf</t>
  </si>
  <si>
    <t>UNILEVER_2022_Annual_OneReport.pdf</t>
  </si>
  <si>
    <t>UNILEVER_2022_Sustainability_Climate.pdf</t>
  </si>
  <si>
    <t>UNILEVER_2022_Supplement.pdf</t>
  </si>
  <si>
    <t>UNILEVER_2023_Annual_OneReport.pdf</t>
  </si>
  <si>
    <t>UNILEVER_2023_Sustainability_Climate.pdf</t>
  </si>
  <si>
    <t>UNILEVER_2023_Supplement.pdf</t>
  </si>
  <si>
    <t>UNILEVER_2024_Annual_OneReport.pdf</t>
  </si>
  <si>
    <t>UNILEVER_2024_Sustainability_Climate.pdf</t>
  </si>
  <si>
    <t>UNILEVER_2024_Supplement.pdf</t>
  </si>
  <si>
    <t>UNILEVER_2025_Annual_OneReport.pdf</t>
  </si>
  <si>
    <t>UNILEVER_2025_Sustainability_Climate.pdf</t>
  </si>
  <si>
    <t>UNILEVER_2025_Supplement.pdf</t>
  </si>
  <si>
    <t>MAERSK_2022_Annual_OneReport.pdf</t>
  </si>
  <si>
    <t>MAERSK_2022_Sustainability_Climate.pdf</t>
  </si>
  <si>
    <t>MAERSK_2022_Supplement.pdf</t>
  </si>
  <si>
    <t>MAERSK_2023_Annual_OneReport.pdf</t>
  </si>
  <si>
    <t>MAERSK_2023_Sustainability_Climate.pdf</t>
  </si>
  <si>
    <t>MAERSK_2023_Supplement.pdf</t>
  </si>
  <si>
    <t>MAERSK_2024_Annual_OneReport.pdf</t>
  </si>
  <si>
    <t>MAERSK_2024_Sustainability_Climate.pdf</t>
  </si>
  <si>
    <t>MAERSK_2024_Supplement.pdf</t>
  </si>
  <si>
    <t>MAERSK_2025_Annual_OneReport.pdf</t>
  </si>
  <si>
    <t>MAERSK_2025_Sustainability_Climate.pdf</t>
  </si>
  <si>
    <t>MAERSK_2025_Supplement.pdf</t>
  </si>
  <si>
    <t>Integrated Annual Report covering this observation year</t>
  </si>
  <si>
    <t>HOLCIM_2022_Annual_OneReport.pdf</t>
  </si>
  <si>
    <t>For 2025 use Integrated Annual Report + Sustainability Statement; for 2024 use Integrated Annual Report + Climate Report; for 2023 use Integrated Annual Report/Climate Report; for 2022 use Integrated Annual Report + Climate Report.</t>
  </si>
  <si>
    <t>Climate Report / Sustainability Statement / Sustainability Performance Report covering this observation year</t>
  </si>
  <si>
    <t>HOLCIM_2022_Sustainability_Climate.pdf</t>
  </si>
  <si>
    <t>HOLCIM_2022_Supplement.pdf</t>
  </si>
  <si>
    <t>HOLCIM_2023_Annual_OneReport.pdf</t>
  </si>
  <si>
    <t>HOLCIM_2023_Sustainability_Climate.pdf</t>
  </si>
  <si>
    <t>HOLCIM_2023_Supplement.pdf</t>
  </si>
  <si>
    <t>HOLCIM_2024_Annual_OneReport.pdf</t>
  </si>
  <si>
    <t>HOLCIM_2024_Sustainability_Climate.pdf</t>
  </si>
  <si>
    <t>HOLCIM_2024_Supplement.pdf</t>
  </si>
  <si>
    <t>HOLCIM_2025_Annual_OneReport.pdf</t>
  </si>
  <si>
    <t>HOLCIM_2025_Sustainability_Climate.pdf</t>
  </si>
  <si>
    <t>HOLCIM_2025_Supplement.pdf</t>
  </si>
  <si>
    <t>Criterion Name</t>
  </si>
  <si>
    <t>Assistant Proposed Score</t>
  </si>
  <si>
    <t>Assistant Coding Status</t>
  </si>
  <si>
    <t>Evidence Summary / Quote</t>
  </si>
  <si>
    <t>Report</t>
  </si>
  <si>
    <t>Page</t>
  </si>
  <si>
    <t>Source URL</t>
  </si>
  <si>
    <t>Researcher Checked Evidence?</t>
  </si>
  <si>
    <t>Researcher Coder 1 Score</t>
  </si>
  <si>
    <t>Score Used (Provisional until checked)</t>
  </si>
  <si>
    <t>Rationale / Notes</t>
  </si>
  <si>
    <t>AI evidence found — researcher verification required</t>
  </si>
  <si>
    <t>a Platinum class award. This reflects PTT’s commitment to conducting business with • Awarded Attachment sustainable social and environmental responsibility to achieve June 2022 the goals of carbon neutrality in 2040 and Net Zero Emissions • Awarded by in 2050 through the 3Ps strategy, namely Pursuit of Lower Thailand Institute of Emissions to drive PTT Group’s greenhouse gas emissions PTT received a plaque of honor Occupational Safety PTT Metro Forest Learning Center reduction projects; Portfolio Transformation, adjustment and Health received an honorary award for the Workation Thailand project, of investment plans to the future energy business (Public Organization) from the TGDA 2022. “Work From Everywhere” at Gold level. and bey</t>
  </si>
  <si>
    <t>PTT one report 2022(1).pdf</t>
  </si>
  <si>
    <t>p. 11</t>
  </si>
  <si>
    <t>Explicit time-bound company net-zero target found. | AI-assisted evidence retrieval; not yet personally verified by the researcher.</t>
  </si>
  <si>
    <t>AI preliminary 0/uncertain — researcher verification required</t>
  </si>
  <si>
    <t>ement of Revenue Net Income Financial Position Financial Ratios Vision, Mission and PTT Values PTT Information THB 3,367,203 THB 91,175 THB 3,415,632 million million million Financial Highlights Milestone Achievement +40% +49% +187% -16% +21% +11% Net Profit to Total Sales Revenue Awards and Recognition 3.63 (%) Message from the Board of Directors 3,367,203 108,363 1% 13% 3,415,632 Economic, Petroleum 3% Return on Equity 1,040,862 688,345 26% and Petrochemical Review and Outlook 3,071,384 (%) 91,175 8.85 3% 855,254 648,619 21% 22% Section 1 Business Operations and Performance 2,544,183 1,193,594 Return on 2,258,818 Total Assets 720,931 462,835 14% Section 2 949,825 1% 1% (%) 3.76 875,440 2% 1% Corporate Governance 30% 8% 8% 779,25</t>
  </si>
  <si>
    <t>p. 6</t>
  </si>
  <si>
    <t>Quantitative target wording did not clearly contain all three required elements: magnitude, target year and baseline/reference point. | AI-assisted evidence retrieval; not yet personally verified by the researcher.</t>
  </si>
  <si>
    <t>No explicit SBTi validation statement found in the selected reports.</t>
  </si>
  <si>
    <t>No official SBTi validation applicable to the observation year was evidenced; alignment, commitment, submission or later validation does not qualify. | AI-assisted evidence retrieval; not yet personally verified by the researcher.</t>
  </si>
  <si>
    <t>No qualifying evidence found in selected report(s).</t>
  </si>
  <si>
    <t>No qualifying evidence found under the strict coding rule. | AI-assisted evidence retrieval; not yet personally verified by the researcher.</t>
  </si>
  <si>
    <t>020 56-1 One Report 2022 021 56-1 One Report 2022 PTT Public Company Limited Awards and Recognition PTT Public Company Limited Awards and Recognition PTT received the Outstanding 56-1 One Report 2022 Organization Award from PTT Public Company Limited King Prajadhipok’s Institute Association. Governance His Excellency Chuan Leekpai, President of the National Assembly, presented a plaque of honor “Outstanding Organization Association of King Prajadhipok’s Institute” Contents PTT received the State Excellence for 2022 to Mr. Auttapol Rer</t>
  </si>
  <si>
    <t>p. 12</t>
  </si>
  <si>
    <t>A multi-year emissions series was not sufficiently evidenced on the selected disclosure. | AI-assisted evidence retrieval; not yet personally verified by the researcher.</t>
  </si>
  <si>
    <t>AI conservative 0 — evidence snippet did not satisfy all strict rule elements; researcher recheck recommended</t>
  </si>
  <si>
    <t>as transmission, international trading, new business Thailand Securities Depository Company Limited Sales and Service Revenue 1,615,665 2,258,818 3,367,203 Milestone Achievement and infrastructure business; the rest are invested through 93, 14th Floor, The Stock Exchange of Thailand Building, Earnings before Interest, subsidiaries joint arrangements and associates, and Ratchadaphisek Road, Din Daeng, Din Daeng, Awards and Recognition Taxes, Depreciation and Amortization (EBITDA) 225,672 427,956 491,288 PTT Group, namely exploration and production, liquefied Bangkok 10400, Thailand Message from the Board of Directors natural gas, petrochemical and refining, oil and retail, Telephone: 66 (0) 2009-9999 Profit attribute to Equity Hold</t>
  </si>
  <si>
    <t>p. 5</t>
  </si>
  <si>
    <t>Automated retrieval found a potentially relevant page, but the captured evidence did not contain all strict coding elements together. Conservatively coded 0 pending researcher verification.</t>
  </si>
  <si>
    <t>on 2 Corporate Governance Attachment Financial Highlights Milestone Achievement 004 Vision, Mission and PTT Values 041 1. Structure and Business Operations 229 6. Corporate Governance 367 Attachment 1 Information of the Board of Directors, Awards and Recognition 006 PTT Information of PTT Group 258 7. Governance Structure Executives, Controlling Persons Message from the Board of Directors 007 Financial Highlights 122 2. Risk Management and Key Data on the Board of Directors, and Company Secretary Economic, Petroleum 010 Milestone Achievement 134 3. Driving Business towards Sustainability Specific Committees, Management, 442 Attachment 2 and Petrochemical Review and Outlook Details of Directors and Subsidiaries 016 Awards and Recog</t>
  </si>
  <si>
    <t>p. 3</t>
  </si>
  <si>
    <t>Board or board-level committee has explicit oversight/responsibility for climate or sustainability matters. | AI-assisted evidence retrieval; not yet personally verified by the researcher.</t>
  </si>
  <si>
    <t>Quantitative emissions are present but measurable progress against a target/baseline/pathway was not sufficiently evidenced. | AI-assisted evidence retrieval; not yet personally verified by the researcher.</t>
  </si>
  <si>
    <t>oard and Duties and Responsibilities of Specific Committees of PTT Public Section Company Limited Attachment Financial Report 445 Attachment 6 Report of the Audit Committee 446 About This Report 366 Financial Report 447 Assurance Report</t>
  </si>
  <si>
    <t>External audit/assurance language was found, but coverage of relevant GHG/climate data was not sufficiently clear. | AI-assisted evidence retrieval; not yet personally verified by the researcher.</t>
  </si>
  <si>
    <t>nd the entire transportation network of the country. and local communities to form “Thailand’s Leading Society and Communities receiving terminal to increase ethane import capacity, Network towards Carbon Neutrality and Net Zero Goals”. 9. Internal Control and Connected (2) 19% in Natural Gas Transmission Pipeline 3) Being a “low-carbon and sustainable organization” This is for driving the participation of various sectors in Transaction Maintaining an excellent corporate standing in Thai society Business Unit, including Bang Pakong - South Bangkok ready to drive Thailand towards Net Zero: PTT Group has reducing greenhouse gas emissions, as well as speeding by exercising environmental stewardship of internationally Power Plant and</t>
  </si>
  <si>
    <t>PTT one report 2023.pdf</t>
  </si>
  <si>
    <t>p. 123</t>
  </si>
  <si>
    <t>etitiveness information Governance 8.1 growth, and drive Enhancement 8.2 PTT Information and the economy Performance forward Financial Highlights Excellence Increasing renewable energy production capacity - 15 gigawatts by 2030 4.9 gigawatts Achievement Highlights Limiting PTT and PTT Group’s direct and indirect PTT Group: ≤ 51.5 million tons PTT Group: 15% reduction PTT Group: The 5th strategy: 6.6 14.2 17 greenhouse gas emissions (Scope 1 and 2) domestically of carbon dioxide equivalent by 2030 compared to the 2020 41.59 million tons of Eco-friendly Page 158 Awards and Recognition Developing the and internationally PTT: ≤ 11.5 million tons emissions carbon dioxide Development 7.1 15.2 business towards a 7.2 of carbon dioxide equ</t>
  </si>
  <si>
    <t>p. 72</t>
  </si>
  <si>
    <t>Quantitative interim reduction target includes target year and baseline/reference point. | AI-assisted evidence retrieval; not yet personally verified by the researcher.</t>
  </si>
  <si>
    <t>1 One Report 2023 PTT Public Company Limited August December August 2, 2022: August 17, 2022: December 15, 2022: Contents PTT International Holdings Limited (PTTIH) (a wholly owned The Energy Regulatory Commission (ERC) approved the criteria December 14, 2022: PTT Board of Directors approved the five-year (Year 2023 - 2027) PTT Board of Directors approved the shareholding subsidiary of PTT) has entered into a Share Purchase of natural gas tariff for natural gas transportation licensees investment plan of PTT and its wholly owned subsidiaries in Vision, Mission and PTT Values restructuring of AI &amp; Robotics business by assigning SMH Agreement of its entire investment, being 100% of through pipeline, which consist of two components;</t>
  </si>
  <si>
    <t>p. 30</t>
  </si>
  <si>
    <t>rting systems for market-based Scope 2 greenhouse gas emissions compared greenhouse gas emissions, absorption, and storage data, to the previous year. This increase was attributed to the Direct greenhouse gas emissions (scope 1)2, 3 43.47 47.27 45.39 40.73 Contents covering direct emissions (Scope 1), emissions from energy increased electricity purchases to meet the growing demand Biogenic CO2 emissions N/A N/A 0.004 7 0.007 Scope use (Scope 2), and other indirect emissions (Scope 3). from the expanded operational scope. Meanwhile, the volume 1&amp;2 Indirect greenhouse gas emissions (scope 2) (location-based) 1.01 1.12 0.65 0.86 Vision, Mission and PTT Values These systems have been continuously improved to align of direct Scope 1 gr</t>
  </si>
  <si>
    <t>p. 85</t>
  </si>
  <si>
    <t>Quantitative Scope 1 and Scope 2 emissions are disclosed with numerical data. | AI-assisted evidence retrieval; not yet personally verified by the researcher.</t>
  </si>
  <si>
    <t>tents covering direct emissions (Scope 1), emissions from energy increased electricity purchases to meet the growing demand Biogenic CO2 emissions N/A N/A 0.004 7 0.007 Scope use (Scope 2), and other indirect emissions (Scope 3). from the expanded operational scope. Meanwhile, the volume 1&amp;2 Indirect greenhouse gas emissions (scope 2) (location-based) 1.01 1.12 0.65 0.86 Vision, Mission and PTT Values These systems have been continuously improved to align of direct Scope 1 greenhouse gas emissions decreased from with international standards by enhancing methodologies, the previous year due to primary factors such as reduced Indirect greenhouse gas emissions (scope 2) (market-based) 2, 3 1.69 1.46 0.86 0.87 PTT Information operatio</t>
  </si>
  <si>
    <t>Quantitative Scope 3 emissions (including financed emissions where relevant) are disclosed. | AI-assisted evidence retrieval; not yet personally verified by the researcher.</t>
  </si>
  <si>
    <t>t (CFP). million of unrealized gain on fair value of commodity contracts, THB 5,479 million of gain on derivatives, THB 4,614 million Contents of gain on disposal of assets, and THB 3,013 million of share of profit from investments in joint ventures and associates and Vision, Mission and PTT Values Liabilities the change in net operating assets resulted in the increase in cash flow of THB 46,247 million while there were income taxes paid of THB 83,201 million. PTT Information As of December 31, 2023, PTT Group had total liabilities of THB 1,835,486 million, decreased by THB 46,453 million or Financial Highlights 2.5% from December 31, 2022, mainly from the followings; Net cash used in investing activities was THB 161,245 million m</t>
  </si>
  <si>
    <t>p. 106</t>
  </si>
  <si>
    <t>Section 2 Corporate Governance 7. Governance Structure and Key Data on the Board of Directors, Section 2 Corporate Governance 7. Governance Structure and Key Data on the Board of Directors, Specific Committees, Management, Employees and Others Specific Committees, Management, Employees and Others 56-1 One Report 2023 PTT Public Company Limited 7.2.3 Authorities, Duties, • The Board shall regularly provide oversight, control, • The Board shall assign authority and responsibility to • Consent to employ, appoint, transfer, or promote monitor, and review of management performance the Presiden</t>
  </si>
  <si>
    <t>p. 135</t>
  </si>
  <si>
    <t>Governance is described but explicit board-level climate/sustainability oversight was not sufficiently evidenced. | AI-assisted evidence retrieval; not yet personally verified by the researcher.</t>
  </si>
  <si>
    <t>especially of those in the service sector, amid a decline in inflation 88% of crude oil and 46% of natural gas were imported. Domestic consumption totaled 1,723.17 KBD, up 3.08% from 2022, back to the Bank of Thailand’s target range of 1 - 3% due to gradually easing supply factors and government cost-of-living with refined oil products accounting for 56% and natural gas 44%, whereas petroleum product exports totaled 193.94 KBD, Vision, Mission and PTT Values support measures. Private investment slowed, in line with weak goods exports following rising global spending in services up 12.18% from 2022. and a global electronics downturn. In addition, business confidence was affected by political uncertainties during PTT Information the</t>
  </si>
  <si>
    <t>p. 21</t>
  </si>
  <si>
    <t>Quantitative actual performance is compared with a target, baseline, pathway or prior-period reference. | AI-assisted evidence retrieval; not yet personally verified by the researcher.</t>
  </si>
  <si>
    <t>iness towards Sustainability Tel +66 2677 2000 โทร +66 2677 2000 Fax +66 2677 2222 แฟกซ์ +66 2677 2222 Section 1: Business Operations and Performance Website kpmg.com/th เว็บไซต์ kpmg.com/th Contents Independent limited assurance report PTT consistently discloses sustainability performance data to stakeholders through annual reports, sustainability reports, and the website www.pttplc.com in the sustainability section every year. In 2023, PTT announced sustainability performance to stakeholders through Vision, Mission and PTT Values the "Form 56-1 One Report", which integrates the annual report and sustainability report for the fourth consecutive year. Sustainability performance PTT Information is disclosed under Part 3: Driving Bu</t>
  </si>
  <si>
    <t>p. 227</t>
  </si>
  <si>
    <t>2024 pilot evidence pass: Verified</t>
  </si>
  <si>
    <t>PTT discloses Net Zero Emissions by 2050.</t>
  </si>
  <si>
    <t>PTT TCFD/IFRS S2 Report 2024</t>
  </si>
  <si>
    <t>p.37</t>
  </si>
  <si>
    <t>https://www.pttplc.com/api/blobfile/uploadfiles%2Fcontenttext%2Ffile_090420262126874246.pdf</t>
  </si>
  <si>
    <t>Explicit net-zero target and year. | Imported from the earlier 2024 evidence workbook; researcher personal verification is still required before treating this as final dissertation coding.</t>
  </si>
  <si>
    <t>PTT discloses a 15% GHG reduction target by 2035 versus 2021 for Scope 1 and 2.</t>
  </si>
  <si>
    <t>Quantitative interim target, year, baseline and scopes. | Imported from the earlier 2024 evidence workbook; researcher personal verification is still required before treating this as final dissertation coding.</t>
  </si>
  <si>
    <t>2024 pilot evidence pass: Conservative 0 / dashboard recheck</t>
  </si>
  <si>
    <t>No 2024 entity-level SBTi validation was confirmed in the official SBTi dashboard evidence pass.</t>
  </si>
  <si>
    <t>SBTi Target Dashboard</t>
  </si>
  <si>
    <t>Search company name</t>
  </si>
  <si>
    <t>https://sciencebasedtargets.org/target-dashboard</t>
  </si>
  <si>
    <t>Strict validation rule; alignment/scenario references are insufficient. | Imported from the earlier 2024 evidence workbook; researcher personal verification is still required before treating this as final dissertation coding.</t>
  </si>
  <si>
    <t>PTT reports quantitative Scope 1 and Scope 2 emissions with units and annual data.</t>
  </si>
  <si>
    <t>pp.40-42</t>
  </si>
  <si>
    <t>Meets quantitative disclosure rule. | Imported from the earlier 2024 evidence workbook; researcher personal verification is still required before treating this as final dissertation coding.</t>
  </si>
  <si>
    <t>PTT reports quantitative Scope 3 categories including use of sold products and other categories.</t>
  </si>
  <si>
    <t>pp.41-42</t>
  </si>
  <si>
    <t>Quantified material Scope 3 evidence. | Imported from the earlier 2024 evidence workbook; researcher personal verification is still required before treating this as final dissertation coding.</t>
  </si>
  <si>
    <t>PTT presents multi-year GHG data for 2021-2024, with methodology/boundary notes.</t>
  </si>
  <si>
    <t>At least two years; comparability note retained. | Imported from the earlier 2024 evidence workbook; researcher personal verification is still required before treating this as final dissertation coding.</t>
  </si>
  <si>
    <t>PTT quantifies decarbonisation resources including CCS investment and 3R projects.</t>
  </si>
  <si>
    <t>p.28</t>
  </si>
  <si>
    <t>Specific transition actions linked to financial resources. | Imported from the earlier 2024 evidence workbook; researcher personal verification is still required before treating this as final dissertation coding.</t>
  </si>
  <si>
    <t>PTT identifies Board and board-level sustainability governance in climate oversight.</t>
  </si>
  <si>
    <t>pp.9,13</t>
  </si>
  <si>
    <t>Board-level oversight is explicit. | Imported from the earlier 2024 evidence workbook; researcher personal verification is still required before treating this as final dissertation coding.</t>
  </si>
  <si>
    <t>PTT reports 2024 GHG KPIs and progress against short/long-term GHG targets.</t>
  </si>
  <si>
    <t>p.39</t>
  </si>
  <si>
    <t>Quantitative progress reporting. | Imported from the earlier 2024 evidence workbook; researcher personal verification is still required before treating this as final dissertation coding.</t>
  </si>
  <si>
    <t>2024 pilot evidence pass: Needs final assurance check</t>
  </si>
  <si>
    <t>A qualifying 2024 GHG assurance statement was not fully verified in the pilot evidence pass.</t>
  </si>
  <si>
    <t>PTT Sustainability portal</t>
  </si>
  <si>
    <t>Assurance section</t>
  </si>
  <si>
    <t>Kept as conservative provisional 0 until exact 2024 assurance scope is confirmed. | Imported from the earlier 2024 evidence workbook; researcher personal verification is still required before treating this as final dissertation coding.</t>
  </si>
  <si>
    <t>king business opportunities (3) Governance and Economic (G), integrating Portfolio with green economy and social care), Integrity &amp; Ethics (Embed integrity &amp; ethics to enhance good corporate citizenship), and aiming for Net Zero through the development of CCS management and Net Zero Emissions across PTT Group, and Trust &amp; Respect (Tune-up trust through empowerment and respect). and hydrogen businesses is a key mechanism for reducing and driving the sustainability operations of PTT Group with Contents greenhouse gas emissions of PTT Group. This supports PTT Group Decarbonization Master Plan. PTT Group’s strategic direction continues to focus on driving the goal of energy security while maintaining a balance in reducing the goal of</t>
  </si>
  <si>
    <t>PTT one report 2025(1).pdf</t>
  </si>
  <si>
    <t>p. 22</t>
  </si>
  <si>
    <t>T Public Company Limited 035 56-1 One Report 2025 PTT Public Company Limited Overview of Thailand’s petroleum supply and distribution in 2025: Total supply was at 1,919.5 thousand barrels per day (KBD), a decrease of 2.2% from 2024 (Figure 8). This comprised 61% oil and 39% natural gas, with 92% crude oil and 44% 2. 2026 Outlook 2.3 Thailand Economic Contents natural gas imported. Domestic petroleum distribution totaled 1,742.9 KBD, a decrease of 0.9% from 2024, divided into Outlook 56% refined petroleum products and 44% natural gas. Meanwhile, petroleum exports were 164.4 KBD, a decrease of 20.0% 2.1 Global Economic • Vision, Mission and PTT Values from 2024. Outlook The Thai economy is projected to slow down in 2026. Merchandise</t>
  </si>
  <si>
    <t>p. 19</t>
  </si>
  <si>
    <t>ons and Performance 1. Structure and Business Operations of PTT Group PTT Public Company Limited 049 56-1 One Report 2025 PTT Public Company Limited March 7, 2024: September 23, 2024: The Board of Directors of ARUN PLUS approved ARUN PLUS PTT issued the unsubordinated and unsecured debenture No. 1/2024 for the total amount of THB Contents to establish Ze Mobility Plus Company Limited (Ze Mobility 500 million with a 1-year tenor and 2.38% coupon rate to the specific institutional investors of not Plus) and X Mobility (Thailand) Company Limited (X Mobility more than 10 persons. This issuance was via Blockchain debenture through the Q-Money Wallet by • Vision, Mission and PTT Values (Thailand)) with a registered capital of THB 10 mil</t>
  </si>
  <si>
    <t>p. 26</t>
  </si>
  <si>
    <t>and reported its greenhouse gas (GHG) greenhouse gas (GHG) emissions across direct emissions electricity purchases from the grid to support increased power emissions and removal data for 2025, following the guidelines (Scope 1), indirect emissions (Scope 2), and other indirect demand from the Euro 5 fuel production project of IRPC. • Vision, Mission and PTT Values Strengthening Investment Decisions through Internal established by the Thailand Greenhouse Gas Management emissions (Scope 3). Scope 1 emissions increased compared In addition, Global Power Synergy needed to procure external Carbon Price Mechanism at PTT Organization (Public Organization) (TGO). This includes • PTT Information with the previous year, due to higher feed</t>
  </si>
  <si>
    <t>p. 82</t>
  </si>
  <si>
    <t>Scope 1 and 2) Indirect Greenhouse Gas Emissions (Scope 2) – Market-based2/, 3/ 0.86 0.87 0.95 0.96 • Financial Highlights Greenhouse gas emissions from PTT Group’s operations, including both 398.38 336.81 330.25 342.50 Scope 32/, 3/ • Achievement Highlights direct, indirect emissions and emissions from the combustion of fuel Greenhouse gas emissions from the combustion of fuel products sold by PTT (Scope 1, 2, and 3)4/ 132.13 134.26 132.16 115.65 • Sustainability Performance Highlights products sold by PTT and PTT Group (Scope 3)4/, 5/, 6/ Greenhouse gas emissions from PTT’s operations, including both direct, 310.05 304.53 304.09 260.97 • Corporate Governance Highlights Activities related to fuel and energy9/ N/A 0.05 0.06 0.06 i</t>
  </si>
  <si>
    <t>p. 83</t>
  </si>
  <si>
    <t>PTT Public Company Limited PTT Group’s Direct and Indirect Greenhouse Gas Emissions1/, 8/ Greenhouse Gas Intensity1/, 5/ Unit: Million tons of CO2 equivalent Unit: Kg of CO2 equivalent per barrel of crude oil equivalent Scope 1 &amp; 2 2022 2023 2024 2025 Greenhouse Gas Emissions Intensity 2022 2023 2024 2025 Contents Direct Greenhouse Gas Emissions (Scope 1)2/, 3/ 45.29 40.32 40.50 45.51 Greenhouse gas emissions from PTT Group’s operations, both direct and 82.863/ 84.35 91.15 109.16 • Vision, Mission and PTT Values Biogenic CO2 Emissions 7/ 0.004 0.007 0.011 0.011 indirect (Scope 1 and 2)2/ Indirect Greenhouse Gas Emissions (Scope 2) – Location-based 0.65 0.86 0.95 0.96 Greenhouse gas emissions from PTT’s operations, both direct and</t>
  </si>
  <si>
    <t>At least two comparable reporting years of emissions data are presented. | AI-assisted evidence retrieval; not yet personally verified by the researcher.</t>
  </si>
  <si>
    <t>n Capital Human Capital Driving Factors Driving Factors Human Capital Human Capital • Number of •employees: Number of3,640 employees: persons3,640 persons for Success for Success • Human capital • Human returncapital on investment: return on253 investment: times 253 times 3. Driving Business towards Sustainability • Skills and experience • Skills and of the experience organization’s of the personnel, organization’s suppliers, personnel, andsuppliers, business partners and business partners • Employee engagement • Employee engagement score: 81% score: 81% 4. Management Discussion and Analysis • Average • Average training for executives hourstraining hours for andexecutives employees: and47.56 employees: hours 47.56 hours • Employee</t>
  </si>
  <si>
    <t>p. 75</t>
  </si>
  <si>
    <t>ustainability Section 1 Business Operations and Performance 3. Driving Business towards Sustainability PTT Public Company Limited 191 56-1 One Report 2025 and capabilities in innovation. This ensures employees are • PTT Board of Directors has delegated responsibility PTT Public Company Limited Management Overview 2. For Bottom-Up innovation management, PTT Innovation well prepared, equipped with the necessary competencies for overseeing PTT’s innovation management to the Management Committee (PTT IMC) serves as the and awareness to create innovations aligned with corporate Enterprise Risk Management Committee (ERMC). The Innovation and technology are key enablers in driving principal cross-functional committee. It comprises strate</t>
  </si>
  <si>
    <t>p. 97</t>
  </si>
  <si>
    <t>from OPEC+ Thailand’s petroleum consumption in 2026 is projected • Attachment Power Generation 464.2 countries will require close monitoring to determine the balance Imported -7.2% to remain stable or increase slightly compared to 2025. 310.5 between supporting oil prices and reclaiming market share. Natural Gas Share 44% Aviation fuel consumption is expected to continue increasing -11.4% 7 Gas Separation3/ The average price of Dubai crude oil in 2026 is projected 758.0 Plants with Industry/ 147.6 due to the resurgence of international tourism, both Share 39% Indigenous Transportation -2.9% to be between USD 60 - 70 per barrel. The Singapore -4.4% 447.5 a Combined short-haul and long-haul. Diesel consumption is expected Capacity</t>
  </si>
  <si>
    <t>r Net Zero Emissions sectors increased, as energy consumption rose while product For PTT Group’s performance in 2025, Scope 1 increased greenhouse gas (GHG) reduction projects at each stage, and certification, providing assurance that PTT’s Net Zero due to higher production levels at PTT, GPSC, and Trans output declined. • Section 1 evaluate Return on Investment Capital (ROIC). This ensures Emissions target and greenhouse gas reduction approaches Business Operations that GHG reduction initiatives achieve their targets while are aligned with international principles and consistent and Performance supporting sustainable business growth. with Thailand’s standards. PTT received Net Zero Pathway PTT’s Direct and Indirect Greenhouse Gas</t>
  </si>
  <si>
    <t>Sustainability Report 2022 9 PTT Exploration and Production Public Company Limited 10 Stakeholders’ Voices EP Net Zero 2050 is a suitable strategy to answer the national agenda. PTTEP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M.L. Peekthong Thongyai PTTEP with offshore energy operations has collaborated with the Senior Executive Vice President, Gas Business Unit Depar</t>
  </si>
  <si>
    <t>PTTEP sustainability report 2022.pdf</t>
  </si>
  <si>
    <t>p. 7</t>
  </si>
  <si>
    <t>Structure and Business Operations 63 PTTEP 100% 75% 51% 20% 15% 50% 100% 49% 25% 49% PTT SPSE Energy PTTEP PTTEPI PTTEPO PTTEPS Digital Complex EH GHBR 25% PTTEP 75% Services 25% PTTEP 75% TC 100% 100% 100% 50% 100% 53.9496% 25.001% 100% 80% 37.0842% 100% 100% 100% 100% 100% 100% 25% PTTEP 75% PTTEP B8/32 PTTEP PTTEP PTTEP PTTEP PTTEP PTTEP PTTEP CPOC SHL Orange PTTEPH ATL MGTC EP-Tech BC HK G7 25% Partners SV KV HV HL AG ED 75% PTTEP 100% 100% 100% NH PTTEP 100% YS PTTEP PGH 50% Natuna 2 25% 28.5% 35% MENA HKO B.V. 100% 100% 100% 100% 100% 100% 100% HV JOC HL</t>
  </si>
  <si>
    <t>PTTEP one report 2022.pdf</t>
  </si>
  <si>
    <t>p. 59</t>
  </si>
  <si>
    <t>nded on April 23, 2022. The Block G12/48, located adjacent to the east of Bongkot South Field, is held and operated by the PTTEP Group with 66.6667 percent working interest. The production area and development plan were approved by the Department of Mineral Fuels in March 2015, with production commencing on October 20, 2018, through Bongkot South Field’s Central Processing platform. The natural gas sales volume of Block G12/48 is under Bongkot South gas sale agreement. S1 Project The S1 Project is the largest onshore oil field in Thailand, with the production area covering parts of Kamphaeng Phet, Sukhothai, and Phitsanulok provinces. The PTTEP Group is the operator with 100 percent interest. The project was officially approved th</t>
  </si>
  <si>
    <t>p. 27</t>
  </si>
  <si>
    <t>has set a target to reduce GHG emissions intensity from our and (2) Application of various technologies to reduce E&amp;P activities under PTTEP’s operational control covering GHG emissions from the production process, for Scope 1 and Scope 2 emissions by at least 25% within 2030 example, recovery flare gas or excess gas went back (from the base year 2012). Throughout the past decade, into the production process for further utilization, PTTEP was committed to continually reducing greenhouse energy efficiency improvement, production efficiency gas emissions (GHG emissions) through the implementation improvement, reduction of methane leak, adoption of various projects in both domestic and international assets. of renewable energy in op</t>
  </si>
  <si>
    <t>p. 17</t>
  </si>
  <si>
    <t>ation and Production and Production Production and Public Production Production Public Public Public Company Company Public Company Limited Limited Limited Company Company Limited Limited 56-1 One Report / Annual Report 2022 tes Notes Notes thetoNotes toNotes toto 424 the the Consolidated to the the Consolidated Consolidated Consolidated Consolidated PTT and and and Separate Exploration and Separate and Separate and SeparateFinancial Separate Financial Production Financial Public Statements Statements Statements Statements Statements Financial Financial Company Limited theFor r For For year theFor the year the the yearnded nded year nded year 31 December 31 December December 31 31 ended ended ended December 31 December 20222022 20</t>
  </si>
  <si>
    <t>p. 420</t>
  </si>
  <si>
    <t>Participation Interest: 60% Participation Interest: 100% Operator: Eni Operator: Chevron Operator: PTTEP Group 1 On August 31, 2022, PTTEP Group has entered into a Sale and Purchase Agreement (SPA) to sell PTTEP Brazil Investments in Oil and Gas Exploration and 7 On March 14, 2022, PTTEP International Limited (PTTEPI), a wholly-owned subsidiary of PTTEP Group and a partner in the project, has assumed the operatorship Production Limitada, which holds 25% interest in the Barreirinhas AP1 Project and 20% interest in the Brazil BM-ES-23 Project. The completion will be subject of Yadana Project and Moattama Gas Transportation Company (MGTC), with effect from July 20, 2022. to conditions as prescribed in the SPA. 8 The concession of Co</t>
  </si>
  <si>
    <t>p. 23</t>
  </si>
  <si>
    <t>Governance Structure and Key Data on the Board of Directors, Specific Committees, Management, Employees, and Others 199 Form 56-1 One Report Year 2022 In 2022, the Company invested in human capital development programs at the total amount of THB 243,814,938 and provided more than 292,512 training and development hours for our employees with an average of 57 training and development hours per person per annum. PTTEP has a policy for management in implementing an Individual Competency Development Plan (ICDP) for PTTEP Staff. To ensure standardization, PTTEP</t>
  </si>
  <si>
    <t>p. 195</t>
  </si>
  <si>
    <t>opriateness. 9) Perform other duties relating to PTTEP risk management as may be assigned by the Board. The Risk Management Committee consists of at least 3 directors, while ensuring that at least one of them must be an independent director. As of December 31, 2022, the Committee comprised 4 members, 4 of which were independent directors as follows: Mr. Pitipan Tepartimargorn Chairman and Independent Director Lieutenant General Nimit Suwannarat Member and Independent Director Mr. Veerathai Santiprabhob Member and Independent Director Mr. Bundhit Eua-arporn Member and Independent Director Mr. Atikom Terbsiri has resigned from the positions of Director and Member of the Risk Management Committee. His resignation is effective from 30</t>
  </si>
  <si>
    <t>p. 187</t>
  </si>
  <si>
    <t>Building a Sustainable Tomorrow 261 9. Building a Sustainable Tomorrow 9.1 Striving towards Net Zero In 2023, PTTEP was able to reduce GHG emissions by more than 0.9 million tonnes of CO 2 equivalent. PTTEP acknowledges the critical business challenges posed This accomplishment results in a cumulative GHG reduction by the energy transition and the impacts of global warming of more than 2.4 million tonnes of CO2 equivalent since and climate change. Consequently, in 2022, the Company 2020. This is equivalent to CO2 absorption by 2.5 million announced our commitment through EP Net Zero 2050 rai of trees per</t>
  </si>
  <si>
    <t>PTTEP one report 2023.pdf</t>
  </si>
  <si>
    <t>p. 251</t>
  </si>
  <si>
    <t>PTTEP 100% 75% 51% 20% 15% 50% 100% 49% 25% 49% PTT PTT Energy PTTEP PTTEPI PTTEPO Siam Digital SPSE Complex EH GHBR 25% PTTEP 75% Structure and Business Operations Services 25% PTTEP 75% TC 50% 100% 53.9496% 25.001% 100% 80% 37.0842% 100% 100% 100% 100% 100% 100% 100% 100% 25% PTTEP 75% B8/32 PTTEP PTTEP PTTEP PTTEP PTTEP PTTEP PTTEP HK CPOC SHL Orange Partners PTTEPH ATL MGTC KV HV HL AG EP-Tech BC ED 25% SV 75% PTTEP 25% 28.5% 35% 100% NH 100% 100% PTTEP HV JOC HL JOC GBRS MENA PTTEP PGH HKO 50% Natuna 2 B.V. 100% 100% 1</t>
  </si>
  <si>
    <t>p. 63</t>
  </si>
  <si>
    <t>zero greenhouse gas emissions • Establish guidelines for the assessment of impacts related to the energy sector business such as ISO and of greenhouse gas emissions for GHG Criteria for Science Based Targets initiative (SBTi). These could affect Investment Decision Guidelines, including Internal the enforcement of greenhouse gas emission reductions Carbon Price that is used to consider new investment between the year and the target year 2050 and also offset projects. This is a tool to help assess the economic greenhouse gas emissions with specific types of carbon impact of new projects in relation to the Company’s credits, all of which may affect the Company’s operations. greenhouse gas emissions targets. Mitigation plan: PTTEP fo</t>
  </si>
  <si>
    <t>p. 95</t>
  </si>
  <si>
    <t>tegy, aiming to reach Net Zero Greenhouse Gas (GHG) through E&amp;P portfolio management and the deployment of Emissions by 2050. This goal covers both direct emissions diverse technologies to reduce GHG emissions from the (Scope 1) and indirect emissions (Scope 2) of the exploration production process. Notable initiatives include flare gas and production business under PTTEP’s operational control. recovery and utilization, energy efficiency improvement, PTTEP has also set interim targets to reduce GHG emissions production efficiency enhancement, mitigation of methane intensity by at least 30 percent within 2030 and 50 percent leaks, and integration of renewable energy in operations within 2040 (from base year 2020). as well as effici</t>
  </si>
  <si>
    <t>ancial Highlights 9 Contents Financial Highlights Message from Chairman and CEO Financial Highlights Total Assets Total Liabilities Total Equity Total Revenues Profit for the Year Financial Highlights (USD Million) 2021 2022 2023 Environmental, Social, Governance Dividend per Share (THB) 5.00 9.25 9.50* Highlight Performance 30,000 Dividend Yield (%)** 4.24 5.24 6.35 Value Creation * Total dividend of 2023 at the rate of THB 9.50 per share includes the interim dividend at the rate of THB 4.25 per share and the second half-year dividend at 26,380 the rate of THB 5.25 per share. Payments of the interim dividend and the second half-year dividend will be proposed in 2024 General Shareholder’s Meeting Stakeholders’ Voices 25,000 25,168</t>
  </si>
  <si>
    <t>uishment. 6 In February 2023, PTTEP Group, along with Petronas Carigali Sdn Bhd. (PCSB), INPEX Cash Maple Pty Ltd and TotalEnergies Exploration Australia Pty Ltd. PTTEP AAA • On February 23, 2023, the sale of the entire investment in PTTEP Brazil Investments in However, all partners in the project remain obliged to decommissioning as prescribed and Petroleum Sarawak Exploration &amp; Production Sdn Bhd. (PSEP) was awarded holds 100 percent interests in the retention lease and the divestment was completed on Oil and Gas Exploration and Production Limitada (PTTEP BL) which holds 25 percent by laws. the exploration Block SK325, which is located offshore of Sarawak, Malaysia. December 22, 2023. interest in the Barreirinhas AP1 Project and</t>
  </si>
  <si>
    <t>p. 35</t>
  </si>
  <si>
    <t>Governance Structure and Key Data on the Board of Directors, Sub-Committees, Management, Employees, and Others 189 Board and the management. The Secretary of the Board of • Overseeing and advising the Board to ensure that Directors is also the accountable person in reviewing the directors perform their roles in compliance with relevant agenda and minutes of the Board’s meetings prior to their applicable laws, rules, and regulations as well as submission to the Board and managing documentation the Company’s objectives, Articles of Association, of the Share</t>
  </si>
  <si>
    <t>p. 179</t>
  </si>
  <si>
    <t>56-1 One Report / Annual Report 2023 Sustainability Report Incorporated PTT Exploration and Production Public Company Limited 216 6.3.4 The Independent Directors Committee Report to the performance of the Board of Directors’ duties in 2023. Independent directors provided valuable opinions, Independent directors play a significant role in ensuring promoting transparency in both Board of Directors’ the best interests of the Company, shareholders, and meetings and subcommittees’ meetings. In the event that stakeholders. They ensure governance, policies, and a director is shown to have a conflict of interest with any strategies implementation, together wit</t>
  </si>
  <si>
    <t>p. 206</t>
  </si>
  <si>
    <t>PTTEP states Net Zero GHG Emissions for its E&amp;P business by 2050, covering Scope 1 and 2 under operational control.</t>
  </si>
  <si>
    <t>PTTEP TCFD Report 2024</t>
  </si>
  <si>
    <t>p.27</t>
  </si>
  <si>
    <t>https://sustainability.pttep.com/storage/document/sustainability/pttep-tcfd-disclosure-report-en.pdf</t>
  </si>
  <si>
    <t>Explicit target and year. | Imported from the earlier 2024 evidence workbook; researcher personal verification is still required before treating this as final dissertation coding.</t>
  </si>
  <si>
    <t>PTTEP targets a 30% reduction in GHG emissions intensity by 2030 and 50% by 2040 from 2020.</t>
  </si>
  <si>
    <t>Quantitative interim target with baseline and target years. | Imported from the earlier 2024 evidence workbook; researcher personal verification is still required before treating this as final dissertation coding.</t>
  </si>
  <si>
    <t>No validated entity-level SBTi target was confirmed for the 2024 observation.</t>
  </si>
  <si>
    <t>Search PTTEP</t>
  </si>
  <si>
    <t>Oil &amp; gas sector context and absence of confirmed validation; conservative 0. | Imported from the earlier 2024 evidence workbook; researcher personal verification is still required before treating this as final dissertation coding.</t>
  </si>
  <si>
    <t>PTTEP reports Scope 1 and Scope 2 emissions quantitatively in MtCO2e.</t>
  </si>
  <si>
    <t>p.30</t>
  </si>
  <si>
    <t>Quantitative Scope 1 and 2 with units. | Imported from the earlier 2024 evidence workbook; researcher personal verification is still required before treating this as final dissertation coding.</t>
  </si>
  <si>
    <t>PTTEP reports quantitative Scope 3 emissions in its annual emissions breakdown.</t>
  </si>
  <si>
    <t>Quantitative Scope 3 disclosed. | Imported from the earlier 2024 evidence workbook; researcher personal verification is still required before treating this as final dissertation coding.</t>
  </si>
  <si>
    <t>PTTEP presents comparable Scope 1, 2 and 3 data for 2020-2023 in the TCFD report and 2024 reporting is incorporated in One Report.</t>
  </si>
  <si>
    <t>PTTEP TCFD / Annual reporting</t>
  </si>
  <si>
    <t>p.30 + 2024 One Report</t>
  </si>
  <si>
    <t>Multi-year disclosure is established; 2024 source should be retained in final evidence log. | Imported from the earlier 2024 evidence workbook; researcher personal verification is still required before treating this as final dissertation coding.</t>
  </si>
  <si>
    <t>PTTEP applies internal carbon pricing of USD 35-60/tCO2e in investment decisions and allocates transition capital.</t>
  </si>
  <si>
    <t>p.20</t>
  </si>
  <si>
    <t>Explicit financial decision resource linked to transition. | Imported from the earlier 2024 evidence workbook; researcher personal verification is still required before treating this as final dissertation coding.</t>
  </si>
  <si>
    <t>2024 pilot evidence pass: Verified source; page-level capture recommended</t>
  </si>
  <si>
    <t>PTTEP climate risk and sustainability governance includes Board oversight within its governance framework.</t>
  </si>
  <si>
    <t>PTTEP Sustainability / TCFD</t>
  </si>
  <si>
    <t>Governance section</t>
  </si>
  <si>
    <t>https://sustainability.pttep.com/en/environment/climate-change-management</t>
  </si>
  <si>
    <t>Board-level climate governance reported. | Imported from the earlier 2024 evidence workbook; researcher personal verification is still required before treating this as final dissertation coding.</t>
  </si>
  <si>
    <t>PTTEP reports measured progress toward its 2030 intensity target and annual emissions-reduction performance.</t>
  </si>
  <si>
    <t>p.29</t>
  </si>
  <si>
    <t>Quantitative performance compared with baseline/target. | Imported from the earlier 2024 evidence workbook; researcher personal verification is still required before treating this as final dissertation coding.</t>
  </si>
  <si>
    <t>2024 pilot evidence pass: Verified; retain exact 2024 statement in appendix</t>
  </si>
  <si>
    <t>PTTEP uses external assurance for selected sustainability information; 2024 reporting was assured by SGS.</t>
  </si>
  <si>
    <t>PTTEP Assurance / reporting portal</t>
  </si>
  <si>
    <t>2024 assurance</t>
  </si>
  <si>
    <t>https://sustainability.pttep.com/en/publication/assurance-statement</t>
  </si>
  <si>
    <t>Independent assurance is part of the reporting process. | Imported from the earlier 2024 evidence workbook; researcher personal verification is still required before treating this as final dissertation coding.</t>
  </si>
  <si>
    <t>issions towards energy transition and of GRC into business among stakeholders in daily engagement for risk mitigation efficiency while minimizing and create lasting social and strengthen stakeholder international growth Net Zero commitment invest internationally processes, driven by operations and decision and opportunity creation environmental impact value collaboration • Maximize supply • Execute Carbon Capture • Invest in Net Zero digital technology making • Build awareness, • Continuously improve • Sustainable ocean-friendly • Enhance nature-based from three gas corridors and Storage (CCS) business (CCS as a service, • Enhance the GRC process • Implement a GRC culture understanding, waste management operations solutions to sup</t>
  </si>
  <si>
    <t>PTTEP one report 2025.pdf</t>
  </si>
  <si>
    <t>76 Structure and Business Operations 56-1 One Report / Annual Report 2025 Sustainability Report Incorporated PTT Exploration and Production Public Company Limited PTTEP 100% 15% PTTEPI SPSE 75% PTTEP 25% 100% PKC PTT 20% Services Digital 75% PTTEP 25% 100% 49% TC PANG GHBR 50% 100% CPOC PSC 25% 75% PTTEP 100% PGC 2% AGP HK 100% 100% 5% PGH 99.99833% POC POHOL 100% PTTEP 0.00167% PTTEP 5% GISCO HKO MEP 100% PTTEP 2% OLNG 36.8% QLNG SBO 100% PTTEP 2% PDO 99.99% PDO-S SKO 100% PH 100% EPG Energy 75% 5.23% 25% PTTEP 50% Natuna 94.77% PHT NH Partners 100% PTTEP 21.09% 25% BI 75% PTTEPO 25.001% B8/32 6.09% 38.99% Partners 100% SHL 100% PTTEP APICO 100% APICO 100% APICO SP 33.83% KH KL 100%</t>
  </si>
  <si>
    <t>p. 65</t>
  </si>
  <si>
    <t>uled to expire on March 31, 2026, with one offshore Sarawak, Malaysia. PTTEP Group holds an 80% exploration well as the minimum work commitment. participating interest in the project and serves as The extension has been approved, with the revised the operator. expiry date extended to June 30, 2028, to support further evaluation of the remaining petroleum potential, Petroleum potential has been identified in the Nangka strengthen technical confidence, and improve and Dokong fields, which are currently undergoing the effectiveness of exploration activity management. Front-End Engineering Design (FEED) studies in preparation for the Final Investment Decision (FID) Malaysia SK438 Project for the Nangka field is targeted in 2026, while</t>
  </si>
  <si>
    <t>p. 42</t>
  </si>
  <si>
    <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Reduced GHG emissions Achieved cumulative forest over 568,000 tonnes conservation and restoration of CO2 equivalent through over 156,000 rai of land emissions reduction initiatives across PTTEP’s operations. Reduced GHG emissions intensity Increased cumulative income</t>
  </si>
  <si>
    <t>p. 265</t>
  </si>
  <si>
    <t>T Exploration and Production Public Company Limited Financial Highlights 11 Financial Highlights Financial Highlights Total assets Total liabilities Total equity Total revenues Profit for the year – Owners of the parent 2023 2024 2025 (USD million) 29,571 Dividend per share (THB) 9.50 9.625 8.75* 28,401 30,000 Dividend yield (%)** 6.35 8.09 7.74 26,380 * Total dividend of 2025 at the rate of THB 8.75 per share includes the interim dividend at the rate of THB 4.10 per share and the second 25,000 half-year dividend at the rate of THB 4.65 per share. Payments of the interim dividend and the second half-year dividend will be proposed in 2026 General Shareholder’s Meeting on March 30, 2026, for acknowledgement and approval, respectivel</t>
  </si>
  <si>
    <t>loration and Production Public Company Limited Structure and Business Operations 45 Business Overview Phase Exploration Development Production PTTEP Group’s core business is the exploration and production • Vietnam 16-1 Project UAE14 Participation Interest 28.5% of petroleum in Thailand and overseas. As of December 31, Operator: HL JOC • Ghasha Concession Project 2025, PTTEP Group had petroleum exploration and production Kazakhstan Participation Interest 10% • Vietnam B and 48/95 Operator: ADNOC projects in 10 countries1, 2 with details as follows: Algeria Project Participation Interest 8.5% • Abu Dhabi Offshore 2 UAE Myanmar Project15 Operator: Vietnam National Thailand3, 4 • E5 Project7 Oman Vietnam Industry – Energy Group Parti</t>
  </si>
  <si>
    <t>p. 34</t>
  </si>
  <si>
    <t>176 Governance Structure and Key Data on the Board of Directors, Sub-Committees, Management, Employees, and Others 56-1 One Report / Annual Report 2025 Sustainability Report Incorporated PTT Exploration and Production Public Company Limited must withdraw from participation or abstain from the E&amp;P business while upholding the best interests of voting, and subsequently inform the authority of such the Company. The CEO’s delegation of authority matter. This has been stipulated in the Company’s is permitted except in cases where the concerned Business Ethics, whi</t>
  </si>
  <si>
    <t>p. 165</t>
  </si>
  <si>
    <t>port 2025 Sustainability Report Incorporated PTT Exploration and Production Public Company Limited Governance Structure and Key Data on the Board of Directors, Sub-Committees, Management, Employees, and Others 187 5.3.5 Independent Directors Committee The Independent Directors Committee has the duties and responsibilities to the Board of Directors in accordance with its charter as follows: 1) To propose to the Board and/or the CEO (as applicable) significant matters that are beneficial to the Company as well as to its major and minor shareholders. 2) To advise the Board of Directors on the roles and duties that should be practiced and to provide advice on the roles and duties of independent directors that should be practiced for t</t>
  </si>
  <si>
    <t>p. 176</t>
  </si>
  <si>
    <t>Clean Energy Towards Net Zero Carbon Capture, Utilization, and Storage (CCUS/CCS) Research and Development Clean energy trends and heightened awareness of the impact of global warming have significant repercussions 0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
  </si>
  <si>
    <t>GPSC Intergrated sustainability report 2022.pdf</t>
  </si>
  <si>
    <t>p. 24</t>
  </si>
  <si>
    <t>nagement Net Energy Generated Installed Capacity Other KPIs "Subsidiaries &amp; Share Operational Country Association Associated companies" holding control Thailand Global Power Synergy Public Company Limited (GPSC) GPSC 100% Yes      Combined Heat and Power Producing Company Limited GPSC 100% Yes  -   - Ratchaburi Power Company Limited GPSC 15% No  -   - Siam Solar Energy 1 Company Limited GPSC 40% No  -   - Nava Nakorn Electricity Generating Company Limited GPSC 30% No  -   - IRPC Clean Power Company Limited GPSC 51% No  -   - Bangpa-In Cogeneration Company Limited GPSC 25% No  -   - Business Services Alliance Company Limited GPSC 25% No  -   - Energy Recovery Unit Company Limited GPSC 100% Yes  -    N.</t>
  </si>
  <si>
    <t>p. 64</t>
  </si>
  <si>
    <t>The assurance comprised a combination of pre-assurance research, interviews with relevant employees, superintendents and the management. Documentation reviewed and recorded were carried out onsit visit and remotely. The validation with external bodies and/or stakeholders where relevant and interview the person in charge of producing the report were also carried out remotely for the same reason. LIMITATIONS AND MITIGATION Financial data drawn directly from independently audited financial accounts has not been checked back to source as part of this assurance process. Some statements and data within the scope were not assured due to lack of accessible records during the time scale allowed for assurance, and these are clearly marked t</t>
  </si>
  <si>
    <t>p. 67</t>
  </si>
  <si>
    <t>al Capital • Employee innovators: 25 persons G • ESS R&amp;D budget: THB 93.07 MM Productivity Natural Capital • Net energy generated: 28.07 TWh • Water withdrawal: • Renewable energy generated: 44,612.08 MWh 1,800.79 Mm3 • Scope 1 GHG emissions: 12.68 million tCO2e • Energy consumption • Scope 2 GHG emissions: 27,850.95 tCO2e 24.87 MWh • GHG emission intensity: 0.45 tCO2e /MWh • Employees in the Environment • Total water discharge: 1,765.7 Mm3 Department: 29 persons • Total waste landfilling: 9,929.07 tons 12 GLOBAL POWER SYNERGY PUBLIC COMPANY LIMITED</t>
  </si>
  <si>
    <t>nsumption GPSC Warehouse 305-1 Direct (Scope 1) GHG emissions Central Utility Plant 1 : CUP-1 305-2 Energy indirect (Scope 2) GHG emissions Central Utility Plant 2 : CUP-2 Central Utility Plant 3 : CUP-3 Other indirect (Scope 3) GHG emissions (Upstream categories) Central Utility Plant 4 : CUP-4 305-3 3. Fuel and energy related activities Sriracha Power Plant Glow IPP plant 4. Upstream transportation and distribution Glow Energy Phase 1 plant 5. Waste generated in operations Glow Energy Phase 2 plant 305-4 GHG emissions intensity Nitrogen Oxides (NOx), Sulfur Oxides (SOx), and other Glow Energy Phase 4 plant significant air emissions Glow Energy Phase 5 plant 305-7 (Including direct Mercury emission, dust emission, SF6 emission) G</t>
  </si>
  <si>
    <t>INTEGRATED SUSTAINABILITY REPORT 2022 Outcomes Investors Government agencies Customers Shareholders Suppliers Partners Society Impact to stakeholders • Had 38% power generated from renewables and value creation • Reduced GHG emissions by 294,505 tCO2e from the use of renewable energy and reduced fuel consumption by 7.40 MMBtu • Reduced energy consumption by 2.17 million MWh • Had GHG emission intensity of 0.45 kgCO2e/kWh • Reduced GHG emissions under T-VER by 433,122 tCO2e • Won an award under the Low Carbon and Sustainable Business (LCSB) Project</t>
  </si>
  <si>
    <t>announced its target to achieve net zero GHG emissions by 2060 and formulated the S2: Scale-up Green Energy strategy. In addition, in making preparations to become a leading global power producer, GPSC has increased its investments in order to increase its use of renewable energy and reduce power generation based on fossil fuels, while also maintaining its reliable and secure energy delivery, which is GPSC’s strength and an area where the Company can satisfy stakeholder expectations efficiently. Based on the strategies described above, GPSC aims to increase renewables-based power production to 38% by 2025 and to over 50% by 2030. In 2022, the Company invested into two large renewables projects, namely a solar power plant in India</t>
  </si>
  <si>
    <t>p. 28</t>
  </si>
  <si>
    <t>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t>
  </si>
  <si>
    <t>p. 68</t>
  </si>
  <si>
    <t>ASSURANCE STATEMENT ASSURANCE STATEMENT SGS (THAILAND) LIMITED’S REPORT ON SUSTAINABILITY ACTIVITIES IN THE GLOBAL POWER SYNERGY PUBLIC COMPANY LIMITED’S INTEGRATED SUSTAINABILITY REPORT FOR 2022 NATURE OF THE ASSURANCE/VERIFICATION SGS (Thailand) Limited (hereinafter referred to as SGS) was commissioned by Global Power Synergy Public Company Limited (hereinafter referred to as GPSC Group) to conduct an independent assurance of the Integrated Sustainability Report for 2022 and the Sustainability Report webpage (her</t>
  </si>
  <si>
    <t>p. 66</t>
  </si>
  <si>
    <t>vestigate the use of CCS/CCUS • Integrating power generation with • Jointly invested with PTT to increase • Pursue nature-based solutions for CCS/CCUS technologies the share of power generation from carbon capture • GHG Net Zero emission renewables in international areas* • Became a member of the Thailand Voluntary Emission Reduction Program (T-VER)* • Managed work to continuously reduce pollutants and waste from power-generating process* * Ongoing work programs and activities Outcomes Impact to stakeholders and value creation Investors Authorities Customers Shareholders Joint Business Society venturers Partners Activity Outcome in 2023 Goal Progress GHG emission • GHG emission intensity down to • GHG emission intensity of up to r</t>
  </si>
  <si>
    <t>GPSC Intergrated sustainability report 2023.pdf</t>
  </si>
  <si>
    <t>ergy Generated Compliance (GRC) Installed Capacity Other KPIs Subsidiaries &amp; Share Operational Country Association Associated companies holding control Thailand Global Power Synergy Public Company Limited (GPSC) GPSC 100% Yes Combined Heat and Power Producing Company Limited GPSC 100% Yes - - Ratchaburi Power Company Limited GPSC 15% No - - Siam Solar Energy 1 Company Limited GPSC 40% No - - Nava Nakorn Electricity Generating Company Limited GPSC 30% No - - IRPC Clean Power Company Limited GPSC 51% No - - Bangpa-In Cogeneration Company Limited GPSC 25% No - - Business Services Alliance Company Limited GPSC 25% No - Energy Recovery Unit Company Limited GPSC 100% Yes - - N.P.S. Star Group Company Limited GPSC 50% No - - World X Chan</t>
  </si>
  <si>
    <t>p. 54</t>
  </si>
  <si>
    <t>tensity (Scope1 and Supply Chain Management Direct Mercury Emission Sustainable Community Energy Consumption Ash&amp; Gypsum Waste Water Consumption Hazardous Waste Waste Disposal Dust Emission Nox Emission Sox Emission GHG Scope 1 GHG Scope 2 GHG Scope 3 Market (OHS) SF6 2) - - - - - - - - - - - - - - - - - - - - - - - - - - - - - - - - - - - - - - - - - - - - - - - - - - - - - - - - - - - - - - - - - - - - - - - - - - - - - - - - - - - - - - - - - - - - - - - - - - - - - - - - - - - - - - - - - - - - - - - - - - - - - - - - - - - - - - - - - - - - - - - - - - - - - - - - - - - - - - - - - - - - - - - - - - - - - - - - - - - - - - - - - - - - - - - - - - - - - - - - - - - - - - - - - - - - - - - - - - - - - - - - - - - - - - - - - -</t>
  </si>
  <si>
    <t>p. 55</t>
  </si>
  <si>
    <t>ly Chain Management Direct Mercury Emission Sustainable Community Energy Consumption Ash&amp; Gypsum Waste Water Consumption Hazardous Waste Waste Disposal Dust Emission Nox Emission Sox Emission GHG Scope 1 GHG Scope 2 GHG Scope 3 Market (OHS) SF6 2) - - - - - - - - - - - - - - - - - - - - - - - - - - - - - - - - - - - - - - - - - - - - - - - - - - - - - - - - - - - - - - - - - - - - - - - - - - - - - - - - - - - - - - - - - - - - - - - - - - - - - - - - - - - - - - - - - - - - - - - - - - - - - - - - - - - - - - - - - - - - - - - - - - - - - - - - - - - - - - - - - - - - - - - - - - - - - - - - - - - - - - - - - - - - - - - - - - - - - - - - - - - - - - - - - - - - - - - - - - - - - - - - - - - - - - - - - - - - - - - - - - - - - -</t>
  </si>
  <si>
    <t>Key Result Key Result Key Result Key Result Investigation on development Higher reduction of GHG Reduction of GHG emissions by Share of renewable power and application of emissions from the 2022 level 590 tons of carbon dioxide at 65% to 2,161.38 MW, by 47.09%, totalled equivalent through the up from 45.45% recorded CCS/CCUS forestation of 46,000 trees in 2022. technologies with other 124,768 tons in 149 rai and 9,600 seagrass of carbon dioxide equivalent. organizations. in 6 rai. * Higher GHG emissions reflected higher power generation to meet higher demand. The GHG emission concentration is, however, dropping by 7.68% from the 2022 level as a result of the higher efficiency of generating processes.</t>
  </si>
  <si>
    <t>ources by over 50% by 2030, primarily from solar stands at 9,525 MW (up from 4,364 MW in 2022 or by energy. With high-potential power generation from solar more than twice). This capacity can be constantly and available investment opportunities in India, the company increased under India’s national energy policy to generate invested through the share acquisition of Avaada Energy more than 500 gigawatts of power from renewable sources Private Limited (AVAADA), intended to support its business by 2030 toward the fully integrated clean energy and target. As one of the five top solar power generation generation of carbon credit in the future. In addition, GPSC countries, the geography and climate of India are entered investment cooper</t>
  </si>
  <si>
    <t>Concrete transition action is linked to a measurable financial or operational resource allocation. | AI-assisted evidence retrieval; not yet personally verified by the researcher.</t>
  </si>
  <si>
    <t>rends. After all, GPSC’s past successes may no longer be its future successes undertraditional business, which is increasingly facing disruption.” Somchai Meesen Independent director / Chairman, Corporate Governance and Sustainability Committee / Member, Audit Com- mittee (non-executive director) Investors “GPSC belongs to a critical business sector for “As a national and international energy industry national growth and national achievement of the leader in sustainability operation, GPSC is also a Carbon Neutral and Net Zero goals. Today, it is role model for small and medium industries for not only a leader and a role model for domestic applying lessons learned to their adjustment in and international sustainability operation, b</t>
  </si>
  <si>
    <t>p. 52</t>
  </si>
  <si>
    <t>Key Result Key Result Key Result Key Result Investigation on development Higher reduction of GHG Reduction of GHG emissions by Share of renewable power and application of emissions from the 2022 level 590 tons of carbon dioxide at 65% to 2,161.38 MW, by 47.09%, totalled equivalent through the up from 45.45% recorded CCS/CCUS forestation of 46,000 trees in 2022. technologies with other 124,768 tons in 149 rai and 9,600 seagrass of carbon dioxide equivalent. organizations. in 6 rai. * Higher GHG emissions reflected higher power generation to meet higher demand. The GHG emission concentration is, however, dro</t>
  </si>
  <si>
    <t>GPSC states a long-term target of carbon neutrality by 2050 and net-zero GHG emissions by 2060.</t>
  </si>
  <si>
    <t>GPSC Integrated Sustainability Report 2024</t>
  </si>
  <si>
    <t>Climate target section</t>
  </si>
  <si>
    <t>https://www.gpscgroup.com/storage/download/sd-report/20250513-gpsc-sd2024-en.pdf</t>
  </si>
  <si>
    <t>GPSC targets a 35% reduction in GHG emissions intensity by 2030 from a 2020 base year.</t>
  </si>
  <si>
    <t>GPSC Sustainability / Materiality targets</t>
  </si>
  <si>
    <t>Target section</t>
  </si>
  <si>
    <t>https://www.gpscgroup.com/en/sustainability/gpsc-sustainability/materiality-assessment</t>
  </si>
  <si>
    <t>Quantitative target, target year and baseline. | Imported from the earlier 2024 evidence workbook; researcher personal verification is still required before treating this as final dissertation coding.</t>
  </si>
  <si>
    <t>No entity-level SBTi validation was confirmed for GPSC for the 2024 observation.</t>
  </si>
  <si>
    <t>Search GPSC</t>
  </si>
  <si>
    <t>Conservative strict rule. | Imported from the earlier 2024 evidence workbook; researcher personal verification is still required before treating this as final dissertation coding.</t>
  </si>
  <si>
    <t>GPSC's 2024 integrated sustainability report discloses quantitative Scope 1 and Scope 2 emissions.</t>
  </si>
  <si>
    <t>Environmental performance</t>
  </si>
  <si>
    <t>Quantitative scope data are disclosed. | Imported from the earlier 2024 evidence workbook; researcher personal verification is still required before treating this as final dissertation coding.</t>
  </si>
  <si>
    <t>GPSC reports Scope 3 emissions by categories including fuel- and energy-related activities.</t>
  </si>
  <si>
    <t>Scope 3 section</t>
  </si>
  <si>
    <t>Quantitative material Scope 3 categories are reported. | Imported from the earlier 2024 evidence workbook; researcher personal verification is still required before treating this as final dissertation coding.</t>
  </si>
  <si>
    <t>GPSC presents annual emissions/intensity data across multiple reporting years in its sustainability performance tables.</t>
  </si>
  <si>
    <t>Performance tables</t>
  </si>
  <si>
    <t>Multi-year comparability available. | Imported from the earlier 2024 evidence workbook; researcher personal verification is still required before treating this as final dissertation coding.</t>
  </si>
  <si>
    <t>2024 pilot evidence pass: Needs quantified resource page</t>
  </si>
  <si>
    <t>GPSC has a detailed decarbonisation and renewable-energy roadmap, but this pilot row does not yet contain a sufficiently specific 2024 quantified resource-allocation item.</t>
  </si>
  <si>
    <t>Transition strategy</t>
  </si>
  <si>
    <t>Strict Q7 rule requires identifiable financial/operational resource; kept 0 pending a quantified capex/resource citation. | Imported from the earlier 2024 evidence workbook; researcher personal verification is still required before treating this as final dissertation coding.</t>
  </si>
  <si>
    <t>GPSC has a board-level Corporate Governance and Sustainability Committee supporting sustainability oversight.</t>
  </si>
  <si>
    <t>GPSC Corporate Governance</t>
  </si>
  <si>
    <t>Board committee</t>
  </si>
  <si>
    <t>https://www.gpscgroup.com/en/sustainability/economic/governance-risk-and-compliance/corporate-governance</t>
  </si>
  <si>
    <t>Board-level sustainability oversight. | Imported from the earlier 2024 evidence workbook; researcher personal verification is still required before treating this as final dissertation coding.</t>
  </si>
  <si>
    <t>GPSC reports current GHG-intensity performance against its 2025/2030 reduction pathway.</t>
  </si>
  <si>
    <t>Climate performance</t>
  </si>
  <si>
    <t>Measured performance versus targets/baseline. | Imported from the earlier 2024 evidence workbook; researcher personal verification is still required before treating this as final dissertation coding.</t>
  </si>
  <si>
    <t>GPSC's 2024 integrated sustainability report includes an independent assurance statement.</t>
  </si>
  <si>
    <t>Assurance statement, approx. pp.100-103</t>
  </si>
  <si>
    <t>Independent assurance is explicitly included. | Imported from the earlier 2024 evidence workbook; researcher personal verification is still required before treating this as final dissertation coding.</t>
  </si>
  <si>
    <t>or MOUs 6. Natural Capital • Zero landfilling of hazardous waste from operations • GHG emissions reduced under T-VER: 7,673 tCO2 • 10,000 rai of forests restored by 2030 6. Environmental Management, Clean Energy towards Net Zero • Net-zero GHG emissions by 2060 • Resource management (energy, water, air pollution) according to standards • Setting net-zero emissions targets • Reducing GHG emissions through T-VER according to Thailand’s standards Investor Government Community &amp; • Biodiversity risk management Agency &amp; Related Society Organization</t>
  </si>
  <si>
    <t>GPSC Intergrated sustainability report 2025.pdf</t>
  </si>
  <si>
    <t>p. 15</t>
  </si>
  <si>
    <t>76 GLOBAL POWER SYNERGY PUBLIC COMPANY LIMITED Data Coverage Country Subsidiaries &amp; Associated Companies Abv. Shareholder GPSC Operational Shareholding Control Global Power Synergy Public Company Limited GPSC GPSC 100.00% Yes GPSC Holding (Thailand) Company Limited GHT GPSC 100.00% Yes Glow Energy Public Company Limited GLOW GPSC, GHT 99.83% Yes Glow SPP2 Company Limited GSPP2 GLOW 95.00% Yes Glow SPP3 Company Limited GSPP3 GLOW 100.00% Yes Glow SPP11 Company Limited GSPP11 GLOW 100.00% Yes Glow Company Limited GCO GLOW 100.00% Yes Glow IPP Company Limited GIPP GCO 95.00% Yes Houay Ho Thai Company Limited HHTC GCO 49.00% No Glow IPP2 Holding Company Limited GIPP2 GLOW 100.00% Yes GHECO-One Company Limited GHECO- GIPP2 65.00% Yes O</t>
  </si>
  <si>
    <t>p. 76</t>
  </si>
  <si>
    <t>f (both financial and non-financial). Details of the process can be found at https://www.gpscgroup.com/th/sustainability/gpsc-sustainability/ materiality-assessment. Step 1 Step 2 Step 3 Step 4 Identification Assessment Validation Review and Prioritization</t>
  </si>
  <si>
    <t>p. 20</t>
  </si>
  <si>
    <t>EGRATED SUSTAINABILITY REPORT 2025 037 Performance 2025 Progress Goal Target Against Target Net-zero GHG emissions Achieve net-zero GHG emissions Total GHG emissions for 2025: by 2050 13 million t CO2e, consisting of: • Scope 1: 11,784,370 t CO2e • Scope 2: 47,375 t CO2e • Scope 3: 1,235,595 t CO2e Enterprise carbon intensity Carbon intensity reduction Carbon intensity reduction: reduction • 35% by 2030 10% Coal phase-out No further investment in No further investment in coal-related businesses coal-related businesses Energy portfolio transition Increased renewables-based Increased renewables-based capacity capacity Enhancement of internal carbon Reduce GPSC’s GHG emissions GPSC developed skills and pricing capabilities and utiliz</t>
  </si>
  <si>
    <t>p. 37</t>
  </si>
  <si>
    <t>5 Progress Goal Target Against Target Net-zero GHG emissions Achieve net-zero GHG emissions Total GHG emissions for 2025: by 2050 13 million t CO2e, consisting of: • Scope 1: 11,784,370 t CO2e • Scope 2: 47,375 t CO2e • Scope 3: 1,235,595 t CO2e Enterprise carbon intensity Carbon intensity reduction Carbon intensity reduction: reduction • 35% by 2030 10% Coal phase-out No further investment in No further investment in coal-related businesses coal-related businesses Energy portfolio transition Increased renewables-based Increased renewables-based capacity capacity Enhancement of internal carbon Reduce GPSC’s GHG emissions GPSC developed skills and pricing capabilities and utilize ICP to support expertise in internal carbon pricing,</t>
  </si>
  <si>
    <t>• Scope 1: 11,784,370 t CO2e • Scope 2: 47,375 t CO2e • Scope 3: 1,235,595 t CO2e Enterprise carbon intensity Carbon intensity reduction Carbon intensity reduction: reduction • 35% by 2030 10% Coal phase-out No further investment in No further investment in coal-related businesses coal-related businesses Energy portfolio transition Increased renewables-based Increased renewables-based capacity capacity Enhancement of internal carbon Reduce GPSC’s GHG emissions GPSC developed skills and pricing capabilities and utilize ICP to support expertise in internal carbon pricing, investment decisions aimed at which supported GHG reduction increasing the renewable energy planning and informed investment share. decisions regarding renewable</t>
  </si>
  <si>
    <t>On behalf of the Board of Directors, Management, and Employees of Global Power Synergy Plc.</t>
  </si>
  <si>
    <t>DECARBONIZATION FOR SUSTAINABLE FUTURE 080 GLOBAL POWER SYNERGY PUBLIC COMPANY LIMITED ASSURANCE STATEMENT SGS (THAILAND) LIMITED’S REPORT ON SUSTAINABILITY ACTIVITIES IN THE GLOBAL POWER SYNERGY PUBLIC COMPANY LIMITED’S INTEGRATED SUSTAINABILITY REPORT FOR 2025 NATURE OF THE ASSURANCE/VERIFICATION SGS (Thailand) Limited (“SGS”) was commissioned by Global Power Synergy Public Company Limited (“GPSC”) to conduct an independent assurance engagement on the sustainability information disclosed in GPSC’s Integrated Sustainability Report 2025 (Decarbonization for Sustainable Future), for the year ended 31</t>
  </si>
  <si>
    <t>p. 80</t>
  </si>
  <si>
    <t>r non- GWh 0 0 0 0 renewables Total renewable energy sources GWh 0 334.15 356.15 362.94 - Wind GWh 0 0 0 0 - Solar GWh 0 180.07 161.45 169.99 - Biomass GWh 0 154.08 194.70 192.95 - Other GWh 0 0 0 0 Electricity Capacity 2030 Target Total installed capacity MW 1,705 2,195 3,567 5,264 13,099 Total non-renewable energy MW 1,586 1,586 2,951 4,431 10,552 capacity - Natural gas MW 1,586 1,586 2,951 4,431 10,552 - Nuclear/ Oil/ Coal/ Other non- MW 0 0 0 0 0 renewables Total renewable energy capacity MW 119 609 616 833 2,547 - Wind MW 0 465 469 647 252 - Solar MW 119 119 122 161 2,270 - Biomass MW 0 25 25 25 25 - Other MW 0 0 0 0 0 Energy Consumption Total non-renewable energy MWh 7,683.11 17,367.33 19,140.15 107,826.66 50,271,073 consump</t>
  </si>
  <si>
    <t>GULF ESG 2022.pdf</t>
  </si>
  <si>
    <t>p. 4</t>
  </si>
  <si>
    <t>Net-zero language found, but no sufficiently explicit company-specific target year under the strict rule. | AI-assisted evidence retrieval; not yet personally verified by the researcher.</t>
  </si>
  <si>
    <t>Topic Unit 2019 2020 2021 2022 2022 Target Male Female Male Female Male Female Male Female Average hiring cost / FTE THB 18,000 12,500 19,000 41,229 Position Filled by Internal Candidates Percentage of open positions filled % 31 82 76 39 by internal candidates % 26 5 47 35 47 30 29 10 - Below 30 years old % 15 4 16 11 14 12 11 2 - 30-50 years old % 9 1 27 24 23 17 13 7 - Over 50 years old % 2 0 4 0 9 1 5 1 Turnover Breakdown by Age Group Total number of turnovers % 4.7 6.9 5.2 7.8 5 % 3.4 1.3 5.2 1.7 3.3 2.0 5.3 2.5 - Below 30 years old % 1.8 0.6 2.8</t>
  </si>
  <si>
    <t>GULF Sustainability Report 2022.pdf</t>
  </si>
  <si>
    <t>/A N/A Greenhouse Gas Emissions Total GHG emissions tCO2e 9,512,526.53 8,503,887.23 12,334,362.17 13,676,085.13 Total direct GHG emissions (Scope tCO2e 9,458,152.59 8,463,732.83 9,626,793.97 10,491,006.33 9,929,319 1) - Scope 1 intensity tCO2e / MWh 0.387 0.389 0.397 0.388 Data coverage % of power plants 100 100 100 100 which have achieved COD as of 31 December Total indirect GHG emissions tCO2e 49,921.95 36,486.44 35,516.50 110,967.82 (Scope 2) - Location-based tCO2e 49,921.95 36,486.44 35,516.50 110,967.82 68,380 - Market-based tCO2e 0 0 0 0 0 Data coverage % of power plants 100 100 100 100 which have achieved COD as of 31 December Other indirect GHG emissions tCO2e 4,451.99 3,667.96 2,672,051.70 3,074,110.98 2,735,217 (Scope 3)</t>
  </si>
  <si>
    <t>p. 8</t>
  </si>
  <si>
    <t>2 68,380 - Market-based tCO2e 0 0 0 0 0 Data coverage % of power plants 100 100 100 100 which have achieved COD as of 31 December Other indirect GHG emissions tCO2e 4,451.99 3,667.96 2,672,051.70 3,074,110.98 2,735,217 (Scope 3) Total GHG intensity tCO2e / MWh 0.390 0.391 0.508 0.505 8</t>
  </si>
  <si>
    <t>13,085.76 17,344.48 sources - Natural gas GWh 9,679.76 9,684.32 13,085.76 17,344.48 - Nuclear/ Oil/ Coal/ Other non- GWh 0 0 0 0 renewables Total renewable energy sources GWh 0 334.15 356.15 362.94 - Wind GWh 0 0 0 0 - Solar GWh 0 180.07 161.45 169.99 - Biomass GWh 0 154.08 194.70 192.95 - Other GWh 0 0 0 0 Electricity Capacity 2030 Target Total installed capacity MW 1,705 2,195 3,567 5,264 13,099 Total non-renewable energy MW 1,586 1,586 2,951 4,431 10,552 capacity - Natural gas MW 1,586 1,586 2,951 4,431 10,552 - Nuclear/ Oil/ Coal/ Other non- MW 0 0 0 0 0 renewables Total renewable energy capacity MW 119 609 616 833 2,547 - Wind MW 0 465 469 647 252 - Solar MW 119 119 122 161 2,270 - Biomass MW 0 25 25 25 25 - Other MW 0 0 0 0</t>
  </si>
  <si>
    <t>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 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Number of operating - 14 14 risks related to corruption projects in Tha</t>
  </si>
  <si>
    <t>p. 1</t>
  </si>
  <si>
    <t>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tCO2e 9,458,152.59 8,463,732.83 9,626,793.97 10,491,006.33 9,929,319 1) - Scope 1 intensity tCO2e / MWh 0.387 0.389 0.397 0.388 Data coverage % of power plants 100 100 100 100 which have achieved COD as of 31 December Total indirect GHG emissions tCO2e 49,921.95 36,486.44 35,516.50 110,967.82 (Scope 2) - Location-based tCO2e 49,921.95 36,486.44 35,516.50 110,967.82 68,380 - Market-based tCO2e 0 0 0 0 0 Data c</t>
  </si>
  <si>
    <t>er (continued) Water consumption in water-stressed areas Operations in water- Projects 13 14 14 15 stressed areas9 Total water consumption10 Mil. m3 8.33 10.79 15.43 24.68 Climate strategy Greenhouse gas (GHG) emissions Net Zero by Total GHG emissions Tonnes 3,944,773 5,109,713 8,791,140 14,624,745 2050 tCO2e / Total emissions intensity 0.401 0.406 0.389 0.469 MWh Direct emissions (scope 1) Tonnes 3,931,649 5,094,990 6,651,222 11,245,262 tCO2e / Reduce by Total scope 1 intensity 0.400 0.405 0.386 0.360 25% by 2030 MWh Indirect emissions (scope 2)11 Tonnes 10,762 10,782 53,794 23,547 tCO2e / Total scope 2 intensity 0.001 0.001 0.003 0.001 MWh Other indirect emissions Tonnes 2,363 3,941 2,758 3,355,936 (scope 3)12 tCO2e / Total scop</t>
  </si>
  <si>
    <t>GULF ESG 2023.pdf</t>
  </si>
  <si>
    <t>624,745 2050 tCO2e / Total emissions intensity 0.401 0.406 0.389 0.469 MWh Direct emissions (scope 1) Tonnes 3,931,649 5,094,990 6,651,222 11,245,262 tCO2e / Reduce by Total scope 1 intensity 0.400 0.405 0.386 0.360 25% by 2030 MWh Indirect emissions (scope 2)11 Tonnes 10,762 10,782 53,794 23,547 tCO2e / Total scope 2 intensity 0.001 0.001 0.003 0.001 MWh Other indirect emissions Tonnes 2,363 3,941 2,758 3,355,936 (scope 3)12 tCO2e / Total scope 3 intensity 0.000 0.000 0.000 0.108 MWh SF6 emissions Tonnes 0.013 1.178 0.007 30,36213 Product stewardship Electricity transmission and distribution losses14 Transmission losses % 0.49 0.53 0.51 0.66 Distribution losses % N/A N/A N/A N/A Electricity transmission and distribution reliabili</t>
  </si>
  <si>
    <t>GULF Sustainability Report 2023.pdf</t>
  </si>
  <si>
    <t>24.68 Climate strategy Greenhouse gas (GHG) emissions Net Zero by Total GHG emissions Tonnes 3,944,773 5,109,713 8,791,140 14,624,745 2050 tCO2e / Total emissions intensity 0.401 0.406 0.389 0.469 MWh Direct emissions (scope 1) Tonnes 3,931,649 5,094,990 6,651,222 11,245,262 tCO2e / Reduce by Total scope 1 intensity 0.400 0.405 0.386 0.360 25% by 2030 MWh Indirect emissions (scope 2)11 Tonnes 10,762 10,782 53,794 23,547 tCO2e / Total scope 2 intensity 0.001 0.001 0.003 0.001 MWh Other indirect emissions Tonnes 2,363 3,941 2,758 3,355,936 (scope 3)12 tCO2e / Total scope 3 intensity 0.000 0.000 0.000 0.108 MWh SF6 emissions Tonnes 0.013 1.178 0.007 30,36213 Product stewardship Electricity transmission and distribution losses14 Tran</t>
  </si>
  <si>
    <t>.405 0.386 0.360 25% by 2030 MWh Indirect emissions (scope 2)11 Tonnes 10,762 10,782 53,794 23,547 tCO2e / Total scope 2 intensity 0.001 0.001 0.003 0.001 MWh Other indirect emissions Tonnes 2,363 3,941 2,758 3,355,936 (scope 3)12 tCO2e / Total scope 3 intensity 0.000 0.000 0.000 0.108 MWh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t>
  </si>
  <si>
    <t>acity MW 1,730.6 3,171.9 4,624.6 5,967.8 ▪ Conventional capacity MW 1,586.2 2,911.2 4,236.2 5,561.2 ▪ Natural gas-fired MW 1,586.2 2,911.2 4,236.2 5,561.2 &gt; 40% ▪ Renewable capacity MW 144.4 260.7 388.4 406.6 by 20352 ▪ Solar MW 119.4 231.7 235.4 253.6 &gt; 25003 ▪ Wind MW - 4 128 128 &gt; 1,2003 ▪ Biomass MW 25 25 25 25 ▪ Other4 MW - - - - &gt; 1,5003 Total electricity generation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t>
  </si>
  <si>
    <t>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Op</t>
  </si>
  <si>
    <t>p. 2</t>
  </si>
  <si>
    <t>Social Dimension Topic Unit 2020 2021 2022 2023 Target Labor practice indicators Workforce breakdown by number of employees Total People 886 919 1,074 1,168 ▪ Males People 611 633 741 779 ▪ Proportion of males % 69.0 68.9 69.0 66.7 ▪ Females People 275 286 333 389 ▪ Proportion of females % 31.0 31.1 31.0 33.3 ≥ 30 Workforce breakdown by type of contract Permanent People 825 872 1,004 1,130 Contract People 61 47 70 38 Workforce breakdown by function Energy business People 68 81 134 177 Power projects People 478 477 534 548 Other businesses and People 22 25 40 42</t>
  </si>
  <si>
    <t>Independent Assurance Statement Introduction and Engagement Gulf Energy Development Public Company Limited (hereafter ‘GULF’) commissioned TÜV NORD (Thailand) Ltd. (hereafter ‘TUVN’) for Sustainability Assurance Engagement. TUV NORD provide independent assurance on GULF’s sustainability information, its Safety, Health and Environmental (SH&amp;E) data (hereinafter ‘the Report’), for the applied reporting period for the calendar year 2023. This assurance engagement was conducted against the Global Reporting Initiative Standards a l</t>
  </si>
  <si>
    <t>GULF assurance 2023.pdf</t>
  </si>
  <si>
    <t>GULF reports a Net Zero target for 2050.</t>
  </si>
  <si>
    <t>GULF Quantitative ESG Data 2024</t>
  </si>
  <si>
    <t>Climate strategy</t>
  </si>
  <si>
    <t>https://sustainability.gulf.co.th/storage/document/sustainability-reports/2024/quantitative-esg-data-2024-en.pdf</t>
  </si>
  <si>
    <t>GULF targets a 25% reduction in Scope 1 emissions intensity by 2030 from the 2019 baseline.</t>
  </si>
  <si>
    <t>No 2024 entity-level SBTi validation was confirmed for GULF.</t>
  </si>
  <si>
    <t>Search GULF</t>
  </si>
  <si>
    <t>GULF reports 2024 Scope 1 and Scope 2 emissions quantitatively.</t>
  </si>
  <si>
    <t>Environmental data table</t>
  </si>
  <si>
    <t>Quantitative Scope 1 and 2 values. | Imported from the earlier 2024 evidence workbook; researcher personal verification is still required before treating this as final dissertation coding.</t>
  </si>
  <si>
    <t>GULF reports quantitative Scope 3 emissions; 2024 value is included in its ESG data table.</t>
  </si>
  <si>
    <t>GULF provides annual emissions data for 2021-2024.</t>
  </si>
  <si>
    <t>At least two comparable years. | Imported from the earlier 2024 evidence workbook; researcher personal verification is still required before treating this as final dissertation coding.</t>
  </si>
  <si>
    <t>GULF links its transition to operational resources including renewable portfolio expansion, CCS development and cleaner fuels.</t>
  </si>
  <si>
    <t>GULF Decarbonization Plan</t>
  </si>
  <si>
    <t>Roadmap</t>
  </si>
  <si>
    <t>https://sustainability.gulf.co.th/en/powering-the-future/decarbonization</t>
  </si>
  <si>
    <t>Specific implementation roadmap and operational capacity commitments. | Imported from the earlier 2024 evidence workbook; researcher personal verification is still required before treating this as final dissertation coding.</t>
  </si>
  <si>
    <t>GULF maintains a board-level Sustainability, Governance and Risk Management Committee.</t>
  </si>
  <si>
    <t>GULF Corporate Documents</t>
  </si>
  <si>
    <t>Committee charter</t>
  </si>
  <si>
    <t>https://sustainability.gulf.co.th/en/document/policies-and-corporate-documents</t>
  </si>
  <si>
    <t>Board-level committee documented. | Imported from the earlier 2024 evidence workbook; researcher personal verification is still required before treating this as final dissertation coding.</t>
  </si>
  <si>
    <t>GULF reports 2024 Scope 1 intensity of 0.343 tCO2e/MWh and progress from the 2019 baseline toward the 25% target.</t>
  </si>
  <si>
    <t>Quantitative current performance versus baseline/target. | Imported from the earlier 2024 evidence workbook; researcher personal verification is still required before treating this as final dissertation coding.</t>
  </si>
  <si>
    <t>TÜV NORD's 2024 assurance statement covers Scope 1, Scope 2 and Scope 3 GHG indicators.</t>
  </si>
  <si>
    <t>GULF Independent Assurance Statement 2024</t>
  </si>
  <si>
    <t>p.1</t>
  </si>
  <si>
    <t>https://sustainability.gulf.co.th/storage/document/sustainability-reports/2024/assurance-statement-2024-en.pdf</t>
  </si>
  <si>
    <t>Independent GHG assurance explicitly covers GRI 305-1/2/3. | Imported from the earlier 2024 evidence workbook; researcher personal verification is still required before treating this as final dissertation coding.</t>
  </si>
  <si>
    <t>ironmental Dimension Environmental Dimension Topic Unit 2022 2023 2024 2025 Target Topic Unit 2022 2023 2024 2025 Target Climate strategy Product stewardship (continued) Greenhouse gas (GHG) emissions Gas leakage rate19 Net Zero Total GHG emissions Tons 8,791,140 14,624,745 17,102,847 15,807,210 Transportation leakages % 0.000162 0.000143 0.000191 0.000299 by 205014 tCO2e / Total emissions intensity 0.495 0.467 0.441 0.436 Distribution leakages % N/A N/A N/A N/A MWh Direct emissions (scope 1) Tons 6,651,222 11,245,262 13,304,395 12,328,612 Storage leakages % N/A N/A N/A N/A Reduce Efficiency of generation and availability factor20 tCO2e / Total scope 1 intensity 0.375 0.359 0.343 0.340 by 25% MWh by 2030 Efficiency open- / BTU / k</t>
  </si>
  <si>
    <t>GULF ESG 2025.pdf</t>
  </si>
  <si>
    <t>s (scope 1) Tons 6,651,222 11,245,262 13,304,395 12,328,612 Storage leakages % N/A N/A N/A N/A Reduce Efficiency of generation and availability factor20 tCO2e / Total scope 1 intensity 0.375 0.359 0.343 0.340 by 25% MWh by 2030 Efficiency open- / BTU / kWh 7,389 6,762 6,556 6,513 combined-cycle gas plants Indirect emissions Tons 53,794 23,547 22,984 35,963 (scope 2)15 Availability factor (gas plants) % 95.0 97.2 96.4 95.9 tCO2e / Total scope 2 intensity 0.003 0.001 0.001 0.001 MWh Biodiversity Other indirect emissions Tons 2,086,124 3,355,936 3,775,468 3,442,635 Biodiversity exposure and assessment (scope 3)16 tCO2e / Total number of sites21 Sites 14 15 15 20 Total scope 3 intensity 0.117 0.107 0.097 0.095 MWh SF6 emissions Tons 0</t>
  </si>
  <si>
    <t>s and systems ▪ Qualitative narrative disclosures where on-site visits were not feasible (management commentary, strategic statements, and non-quantitative Data Verification: descriptions outside the quantitative data ▪ Validated calculation methodologies for tables); aggregated Environmental and Social metrics ▪ Third-party certifications or audit reports (e.g., GHG emissions, water intensity, LTIFR) referenced in the data (e.g., ISO 14001 System Assessment: certification status); we rely on client representations. ▪ Reviewed GULF's data and information systems for collection, aggregation, analysis, and review of This independent assurance statement should not be Environmental and Social information relied upon to detect all erro</t>
  </si>
  <si>
    <t>GULF assurance 2025.pdf</t>
  </si>
  <si>
    <t>4,745 17,102,847 15,807,210 Transportation leakages % 0.000162 0.000143 0.000191 0.000299 by 205014 tCO2e / Total emissions intensity 0.495 0.467 0.441 0.436 Distribution leakages % N/A N/A N/A N/A MWh Direct emissions (scope 1) Tons 6,651,222 11,245,262 13,304,395 12,328,612 Storage leakages % N/A N/A N/A N/A Reduce Efficiency of generation and availability factor20 tCO2e / Total scope 1 intensity 0.375 0.359 0.343 0.340 by 25% MWh by 2030 Efficiency open- / BTU / kWh 7,389 6,762 6,556 6,513 combined-cycle gas plants Indirect emissions Tons 53,794 23,547 22,984 35,963 (scope 2)15 Availability factor (gas plants) % 95.0 97.2 96.4 95.9 tCO2e / Total scope 2 intensity 0.003 0.001 0.001 0.001 MWh Biodiversity Other indirect emissions</t>
  </si>
  <si>
    <t>tor (gas plants) % 95.0 97.2 96.4 95.9 tCO2e / Total scope 2 intensity 0.003 0.001 0.001 0.001 MWh Biodiversity Other indirect emissions Tons 2,086,124 3,355,936 3,775,468 3,442,635 Biodiversity exposure and assessment (scope 3)16 tCO2e / Total number of sites21 Sites 14 15 15 20 Total scope 3 intensity 0.117 0.107 0.097 0.095 MWh SF6 emissions Tons 0.007 1.29217 0.015 0 Total area Hectares 146.0 223.2 223.2 717.48 Product stewardship % of sites assessed for % 100 100 100 100 biodiversity impacts Electricity transmission and distribution losses18 Sites with significant Sites 0 0 0 0 biodiversity impact Transmission losses % 0.51 0.66 0.39 0.39 Sites with biodiversity Sites N/A N/A N/A N/A management plans22 Distribution losses % N</t>
  </si>
  <si>
    <t>MW 4,624.6 5,967.8 7,852.5 8,504.1 Conventional capacity MW 4,236.2 5,561.2 6,886.2 6,903.2 • Natural gas-fired MW 4,236.2 5,561.2 6,886.2 6,903.2 &gt; 40% by Renewable capacity MW 388.4 406.6 966.3 1,600.9 20353 &gt; 2,500 • Solar MW 235.4 253.6 813.3 1,447.9 by 2030 &gt; 1,200 • Wind MW 128 128 128 128 by 2030 • Biomass MW 25 25 25 25 &gt; 1,500 • Other4 MW - - - - by 2030 Total electricity generation MWh 17,844,187 31,466,827 38,822,896 36,271,676 Conventional sources MWh 17,496,609 30,966,724 38,124,036 34,891,411 • Gas-fired generation MWh 17,496,609 30,966,724 38,124,036 34,891,411 Renewable sources MWh 347,578 500,103 698,860 1,380,265 • Solar MWh 175,250 182,231 230,278 925,668 • Wind MWh 7,399 153,595 311,995 301,534 • Biomass MWh 17</t>
  </si>
  <si>
    <t>Governance Dimension Governance Dimension Topic Unit 2022 2023 2024 2025 Target Topic Unit 2022 2023 2024 2025 Target Corporate governance Business ethics (continued) Board of Directors (1-tier system) Reporting on breaches5 Total People 12 12 12 12 Corruption or bribery Cases 0 0 0 0 0 Independent directors People 7 7 7 6 Discrimination or Cases 0 0 0 0 0 harassment Executive directors People 4 4 4 4 Conflicts of interest Cases 0 0 0 0 0 Non-executive directors People 1 1 1 2 Money laundering or Cases 0 0 0 0 0 insider trading Proportion of females % 33 33 33 33 ≥ 33 Fraud Cases 0 0 0 0 0 Board meeting attendance1 % 98.8 94.9 97.0 96.7 ≥ 752 Customer data Cases 0 0 0 0 0 privac</t>
  </si>
  <si>
    <t>p. 9</t>
  </si>
  <si>
    <t>Social Dimension Social Dimension Topic Unit 2022 2023 2024 2025 Target Topic Unit 2022 2023 2024 2025 Target Labor practice indicators Labor practice indicators (continued) Workforce breakdown by number of employees Workforce breakdown by nationality Total People 1,074 1,168 1,319 1,470 Thai Males People 741 779 890 973 % of total workforce % 99.7 99.8 99.9 99.8 Proportion of males % 69.0 66.7 67.5 66.2 % of management % 99.4 99.7 99.7 99.6 Females People 333 389 429 497 Vietnamese Proportion of females % 31.0 33.3 32.5 33.8 ≥ 30 % of total workforce % 0.2 0.1 0.1 0.1 Workforce</t>
  </si>
  <si>
    <t>Methodology Our work was conducted in accordance with the International Standard on Assurance Engagements As part of its independent assurance of the Selected 3000 (Revised) (ISAE 3000) and against Bureau Information (Environmental and Social indicators only), Veritas' standard procedures and guidelines for Bureau Veritas undertook the following activities: external assurance of sustainability reports and selected sustainability-related information, based on Planning and Risk Assessment: current best practice in independent assurance. ▪ Reviewed GULF's ESG materiality assessment The work was plann</t>
  </si>
  <si>
    <t>nce of the organization’s strategy, taking into consideration and financial planning different climate-related scenarios, including a 2°C or lower scenario. where such information is material. Decarbonization Pathway to Net Zero Scope 1 and 2 Scope 1 and 2 Contribution to the Greenhouse gas Net Zero emissions global effort to emissions from from KBank’s transition to Net Zero KBank’s operations operations* emission by 2050** reduced by 21% ï Carbon removal for and will align with the ï Use of electric residual emissions Paris Agreement goals vehicles ï Installation of solar panels at KBank’s office buildings and branches 2020 2025 2030 2050** 2065*** Base year Scope 3 Scope 3 Scope 3 ï KBank’s Operations (KBank’s Financed (KBank’s</t>
  </si>
  <si>
    <t>KBANK sus report 2022.pdf</t>
  </si>
  <si>
    <t>tting to 1) 21% reduction of GHG 8.4% reduction of GHG emissions 16.75% reduction of GHG emissions becoming Net Zero emissions in 2025 (Baseline year 2020) (Baseline year 2020) in our own operations (Baseline year 2020) by 2030 2) Achievement of ‘Zero Waste to Landfill’ at KBank’s main building within 2025 Committing to Completion of glidepath 3 glidepaths and/or sector strategies 3 glidepaths and sector reducing greenhouse and/or sector strategy to be completely developed. strategies were completely gas emissions in our development developed, namely power financed portfolio in generation, oil and gas, line with Thailand’s and coal industry. aspirations; reducing greenhouse gas emissions in significantly impacted sectors, both in</t>
  </si>
  <si>
    <t>p. 69</t>
  </si>
  <si>
    <t>Social Dimension KASIKORNBANK Sustainability Report 2022 97 Products/Services Details of Financial Products and Services Performances Application for personal K PLUS added more channels for customers to easier access • Approved personal loans: loans, credit cards and KBank’s loan products via mobile phone. Application for personal 413,000 accounts cash cards on K PLUS loans, credit cards and cash cards can be made by users • Approved credit cards: themselves on K PLUS, including the processes of data provision, 285,000 accounts document uploading and giving consent for Credit Bureau • Approved cash cards: checking. In addition, approval can be notified rapidly. Therefore, 209,000 accounts all the processes can be done by users an</t>
  </si>
  <si>
    <t>p. 99</t>
  </si>
  <si>
    <t>Metrics b. Disclose Scope1, 2, 3 GHG emissions and the related risks The total GHG emissions by scope within KAsset boundary are as follows:- GHG Direct and Indirect Scope Unit Performance 2022 Scope 1 tCO2e 52 Fleet tCO2e 52 Scope 2 (location based only) tCO2e 117 Purchased Electricity tCO2e 117 Scope 3 contributes the largest emissions Total Scope 1 and 2 tCO2e 169 where the top 3 significant sources of emissions are purchased goods and services, Total Scope 1&amp; 2 emission intensity tCO2e/ FTE 0.48 employee commuting, and electricity purchases which is in line with industry norms. Full Time Employee (FTE) FTE 350 Scope 3 tCO2e 974 Category 1: Purchased goods and services tCO2e 581 Category 2: Capital goo</t>
  </si>
  <si>
    <t>KBANK TCFD 2022.pdf</t>
  </si>
  <si>
    <t>GHG emissions by scope within KAsset boundary are as follows:- GHG Direct and Indirect Scope Unit Performance 2022 Scope 1 tCO2e 52 Fleet tCO2e 52 Scope 2 (location based only) tCO2e 117 Purchased Electricity tCO2e 117 Scope 3 contributes the largest emissions Total Scope 1 and 2 tCO2e 169 where the top 3 significant sources of emissions are purchased goods and services, Total Scope 1&amp; 2 emission intensity tCO2e/ FTE 0.48 employee commuting, and electricity purchases which is in line with industry norms. Full Time Employee (FTE) FTE 350 Scope 3 tCO2e 974 Category 1: Purchased goods and services tCO2e 581 Category 2: Capital goods tCO2e 14 Category 3: Fuel and energy related activities tCO2e 11 Category 4: Upstream transportation</t>
  </si>
  <si>
    <t>erts. reduction of GHG emissions from the portfolio, KBank joined the Partnership for Carbon Accounting Financials (PCAF) in 2022 to Comparison of scope 3 GHG emission category 15: Investment in 2021 and 2022 2021* 2022 Scope 1+2 Scope 3** Scope 1+2 Scope 3** Sectors Absolute Weighted Absolute Weighted Absolute Weighted Absolute Weighted GHG score of data GHG score of data GHG score of data GHG score of data emissions quality*** emissions quality*** emissions quality*** emissions quality*** (Tonnes (Tonnes (Tonnes (Tonnes of CO2 of CO2 of CO2 of CO2 equivalent) equivalent) equivalent) equivalent) Power generation 4,747,667 2.8 - - 4,375,509 2.8 - - Oil and gas 492,110 4.8 1,185,616 4.8 446,523 4.6 1,192,262 4.7 Coal 106,118 2.3 75</t>
  </si>
  <si>
    <t>p. 70</t>
  </si>
  <si>
    <t>, which million in 2018 and publicly offering YEN-denominated and has extended loans to 307 retirees USD-denominated sustainable bonds (6 months to 3 years) totaling USD 141 million in 2022, to promote financing for 3.2 Investment in Bonds for the Environment, Society and environmentally and socially friendly businesses, such as loans Sustainability of energy and environmental conservation loans, renewable energy loans and loans to promote employment in society. KBank is the first bank in Thailand and ASEAN to issue sustainability bonds in accordance with global standards set up by the International Capital Market Association (ICMA) and the ASEAN Green, Social and Sustainability Bond Standards of the ASEAN Capital Markets Forum (A</t>
  </si>
  <si>
    <t>p. 77</t>
  </si>
  <si>
    <t>Statement of the Board of Directors KASIKORNBANK Sustainability Report 2022 7 Statement of the Board of Directors Over the past year, the global and Thai economies continued to face diverse changes and challenges. Although the COVID-19 situation eased somewhat, the government, private sector, and civil sector had to confront other difficult issues, including persistent economic sluggishness and the need to build upon existing strengths to survive amid intensifying competition within changing economic and social contexts. All member</t>
  </si>
  <si>
    <t>t: … (please name it) impact: … (please name it) impact areas) …your third (and Climate change mitigation Resource efficiency &amp; circular subsequent) area(s) of impact: … (please name it) Alignment  Yes  Yes  Yes  In progress  In progress  In progress  No  No  No Baseline  Yes  Yes  Yes  In progress  In progress  In progress  No  No  No SMART targets  Yes  Yes  Yes  In progress  In progress  In progress  No  No  No Action plan  Yes  Yes  Yes  In progress  In progress  In progress  No  No  No 2.3 Target implementation and monitoring (Key Step 2) For each target separately: Show that your bank has implemented the actions it had previously defined to meet the set target. Report on your bank’s progre</t>
  </si>
  <si>
    <t>p. 230</t>
  </si>
  <si>
    <t>236 KASIKORNBANK Sustainability Report 2022 Assurance Statement LRQA Independent Assurance Statement Relating to KASIKORNBANK PUBLIC COMPANY LIMITED’s Sustainability Report for the calendar year 2022 (1st January 2022 – 31st December 2022) This Assurance Statement has been prepared for KASIKORNBANK PUBLIC COMPANY LIMITED in accordance with our contract but is intended for the readers of this Report. Terms of engagement LRQA Group limited was commissioned by KASIKORNBANK PUBLIC COMPANY LIMITED (KBank) to provide independent assurance on its Sustainability Rep</t>
  </si>
  <si>
    <t>p. 238</t>
  </si>
  <si>
    <t>ons of and Sustainable Environmental Dimension Social Dimension Governance Dimension Appendices Directors Executive Officer KASIKORNBANK Development 050 KASIKORNBANK Sustainability Report 2023 Decarbonization Pathway to Net Zero 2030 Scope 1 and 2 Decarbonization Net Zero emissions from KBank’s Pathway to operations* Net Zero • Carbon Removal Project Scope 3 (KBank’s Financed Portfolio) • Allocation of at least Baht 100 - 200 billion in sustainable financing and investment 2065 • Reduction of lending for Scope 3 coal-fired power plants and (KBank’s Financed Portfolio) 2020 coal to zero Base year Net Zero in KBank’s financed • KBank’s Operations portfolio in line with Thailand’s (Scope 1 and 2) aspirations***, accelerating • KBank’</t>
  </si>
  <si>
    <t>KBANK sus report 2023.pdf</t>
  </si>
  <si>
    <t>3 in Our Own Operations (Scope 1 &amp; 2) Net Zero in our own 1) 21% reduction of 12.6% reduction 12.74% reduction In order to be aligned with the Paris Agreement on climate commitment, KBank has develop a target operations by 2030* greenhouse gas of greenhouse gas of greenhouse gas to reduce Scope 1 and Scope 2 GHG emission using the guideline and recommendation from emissions in 2025 emissions emissions (Baseline year: 2020) (Baseline year: 2020) (Baseline year: 2020) the Science-Based Target initiative and committed to becoming Net Zero in our own operations 2) Achievement of (Scope 1, 2) by 2030. “Zero Waste to Landfill” at KBank’s main buildings within 2025 KBank’s Targets Decarbonized financed Complete development Development of</t>
  </si>
  <si>
    <t>KBANK TCFD 2023.pdf</t>
  </si>
  <si>
    <t>p. 31</t>
  </si>
  <si>
    <t>pment Social Dimension KASIKORNBANK Sustainability Report 2023 089 Products/Services Details of Financial Innovations Performances Application for personal KBank added more channels for customers to have easier access • Approved personal loans: loans, credit cards and to its loan products via mobile phone. Application for personal loans, More than 171,000 accounts cash cards on K PLUS credit cards and cash cards can be made by users themselves • Approved credit cards: More than on K PLUS, including the processes of data provision, document 155,000 accounts uploading and giving consent for Credit Bureau checking. • Approved cash cards: More than In addition, approval can be notified rapidly. All the processes 78,000 accounts can be</t>
  </si>
  <si>
    <t>p. 91</t>
  </si>
  <si>
    <t>Introduction Governance Strategy Risk Management Metrics and Targets Climate Collaboration About This Report Assurance Statement Own Operation Performance (Scope 1 and 2) Performance Target Parameter Unit 2020 2021 2022 2023 2023 In 2023, KBank decreased GHG emissions (Scope 1 &amp; 2) by 12.74 percent from 2020 base year Energy (compared to the target of 12.6 percent reduction from 2020 base year). The table below provides Total fuel consumption within MWh 9,499.68 8,167.06 27,674.46 27,939.49 statistics documenting our environmental performance. the organization from renewable sources*** Performance Performance Total energy consumption within MWh 213,091.98 186,564.30 1</t>
  </si>
  <si>
    <t>p. 32</t>
  </si>
  <si>
    <t>ctricity x emission factor. 5.2 Calculation of decline in GHG emissions resulting from 2.3 The calculation of GHG emissions incurred indirectly the use of financial products and services via digital through other means (Scope 3) is based on KBank channels based on the Attributional approaches on business travel by land transport and acquisition of tap Guidelines for Assessing the Contribution of Products to water x emission factor. Avoided Greenhouse Gas Emissions (ILCA 2015). 2.4 The calculation of GHG emissions incurred indirectly 5.3 Calculation of Scope 3 (Category 15: Investment) is based through Bank’s investment (Scope 3 category 15: on PCAF’s methodology by determining the proportional Investment) is based on Bank’s commer</t>
  </si>
  <si>
    <t>p. 178</t>
  </si>
  <si>
    <t>isk Management Metrics and Targets Climate Collaboration About This Report Assurance Statement Assurance Statement  ) + ) )/..0- ) / / ( )/ ’s approach LRQA’s assurance engagements are carried out in *- ) 2$/#*0-1 -$!$ /$*)+-* 0- ѵ# !*''*2$)"/ .&amp;./#*0"#2 - 0) -/ &amp; ) .+ -/*!/#  1$ ) " /# -$)"+-* ..!*-/#$. ..0- )  )" " ( )/ѷ  ' /$)"/*      ’s Sustainability • .. ..$)"  )&amp; ’s ++-* #/*./ &amp; #*' - )" " ( )//* *)!$-(/# /$..0 .- $.  4./ &amp; #*' -.2 -  +/0-  *-- /'4ѵ  $ /#$./#-*0"#$)/ -1$ 2.2$/# 3/ -) './ &amp; #*' -. ) - 1$ 2$)" * 0( )/. )  ..* $ / - *- .ѵ  +*-/!*-/#  ' ) -4 -спстҗр./ )0 -4спст–тр./ ( - •  1$ 2$)"  )&amp;’s+-* ..!*-</t>
  </si>
  <si>
    <t>p. 45</t>
  </si>
  <si>
    <t>Transition actions are described, but a measurable resource allocation was not sufficiently evidenced under the strict rule. | AI-assisted evidence retrieval; not yet personally verified by the researcher.</t>
  </si>
  <si>
    <t>ns of and Sustainable Environmental Dimension Social Dimension Governance Dimension Appendices Directors Executive Officer KASIKORNBANK Development Environmental Dimension KASIKORNBANK Sustainability Report 2023 049 The Board of Directors oversees KBank’s overall operations, The Credit Risk Management Sub-committee is responsible with independence in decision-making for the maximum for determining KBank’s credit management directions and benefits of KBank and stakeholders. The Board approves strategies, and establishing and revising credit policies and business strategies, goals and policies of KASIKORNBANK processes, taking into consideration ESG risks and FINANCIAL CONGLOMERATE, which incorporate sustainable Climate-related risk</t>
  </si>
  <si>
    <t>p. 51</t>
  </si>
  <si>
    <t>name it) significant impact: in more impact areas) Climate change mitigation … (please name it) …your third Resource efficiency (and subsequent) area(s) &amp; circular of impact: … (please name it) Alignment Yes Yes Yes In progress In progress In progress No No No Baseline Yes Yes Yes In progress In progress In progress No No No SMART targets Yes Yes Yes In progress In progress In progress No No No Action plan Yes Yes Yes In progress In progress In progress No No No 2.3 Target implementation and monitoring (Key Step 2) For each target separately: Show that your bank has implemented the actions it had previously defined to meet the set target. Report on your bank’s progress since the last report towards achieving each of the set targe</t>
  </si>
  <si>
    <t>p. 211</t>
  </si>
  <si>
    <t>Chief KASIKORNBANK Directions of and Sustainable Environmental Dimension Social Dimension Governance Dimension Appendices Directors Executive Officer KASIKORNBANK Development 218 KASIKORNBANK Sustainability Report 2023 Assurance Statement �QALn�R �p�n��ntAssu�an� Stat���nt R�latin�to���LO�OR�A��A�SL��A�susta S inaility b R�po�t�o�t���al�n�a y�a��A�? �A�B@ �� st anua � �y�A�?�A�B� �B�@ st ���b�� �A�?�A�B� his T ssura A nceStatementhasbeenprepared�or ���R�P�A����S�T�L��A��A�PL���� incacordnca ewithourcontractbutisintended �orthereaderso�thiseport� R u ����so��n�a����nt L RQA �roup limited was commissioned by ��R�A��S�A �P�L�� ��P���A L���T�� � �� n� a � to provide independent ssura a nce on its Sustainabilityeport R �A�?�A�B��the r</t>
  </si>
  <si>
    <t>p. 220</t>
  </si>
  <si>
    <t>KBank commits to operational Net Zero for Scope 1 and 2 by 2030.</t>
  </si>
  <si>
    <t>KBank Climate Change Management</t>
  </si>
  <si>
    <t>Web page</t>
  </si>
  <si>
    <t>https://www.kasikornbank.com/en/sustainable-development/goal/Pages/climatechange.aspx</t>
  </si>
  <si>
    <t>Explicit operational net-zero target and year. | Imported from the earlier 2024 evidence workbook; researcher personal verification is still required before treating this as final dissertation coding.</t>
  </si>
  <si>
    <t>KBank discloses operational GHG reduction milestones using a 2020 baseline.</t>
  </si>
  <si>
    <t>KBank Environmental Long-Term Targets</t>
  </si>
  <si>
    <t>https://www.kasikornbank.com/en/sustainable-development/Pages/long-term_target_environment.aspx</t>
  </si>
  <si>
    <t>Quantitative milestones with baseline. | Imported from the earlier 2024 evidence workbook; researcher personal verification is still required before treating this as final dissertation coding.</t>
  </si>
  <si>
    <t>2024 pilot evidence pass: Verified rule; date-sensitive</t>
  </si>
  <si>
    <t>KBank's 2024 materials describe SBTi alignment rather than confirmed 2024 validation.</t>
  </si>
  <si>
    <t>KBank TCFD Report 2024</t>
  </si>
  <si>
    <t>SBTi wording</t>
  </si>
  <si>
    <t>https://www.kasikornbank.com/th/IR/FinanInfoReports/financialReports/kbank-tcfd-report2024-EN.pdf</t>
  </si>
  <si>
    <t>Date-sensitive strict rule. | Imported from the earlier 2024 evidence workbook; researcher personal verification is still required before treating this as final dissertation coding.</t>
  </si>
  <si>
    <t>KBank reports 2024 Scope 1 and market-based Scope 2 emissions in tCO2e.</t>
  </si>
  <si>
    <t>KBank Investor Presentation 4Q24</t>
  </si>
  <si>
    <t>GHG table</t>
  </si>
  <si>
    <t>https://www.kasikornbank.com/en/IR/PresentationJournal/webcast/KBank_Investor_Presentation_4Q24.pdf</t>
  </si>
  <si>
    <t>Quantitative Scope 1 and 2. | Imported from the earlier 2024 evidence workbook; researcher personal verification is still required before treating this as final dissertation coding.</t>
  </si>
  <si>
    <t>KBank quantifies financed emissions for material portfolio categories.</t>
  </si>
  <si>
    <t>Financed emissions</t>
  </si>
  <si>
    <t>Financed emissions qualify as material Scope 3 Category 15. | Imported from the earlier 2024 evidence workbook; researcher personal verification is still required before treating this as final dissertation coding.</t>
  </si>
  <si>
    <t>KBank presents multi-year operational GHG data through 2024.</t>
  </si>
  <si>
    <t>Multi-year disclosure. | Imported from the earlier 2024 evidence workbook; researcher personal verification is still required before treating this as final dissertation coding.</t>
  </si>
  <si>
    <t>KBank reports THB 48.5bn of sustainable financing/investment in 2024.</t>
  </si>
  <si>
    <t>KBank Sustainable Development Operations</t>
  </si>
  <si>
    <t>2024 performance</t>
  </si>
  <si>
    <t>Quantified financial resource linked to transition. | Imported from the earlier 2024 evidence workbook; researcher personal verification is still required before treating this as final dissertation coding.</t>
  </si>
  <si>
    <t>KBank identifies Board-level oversight of climate risks and opportunities.</t>
  </si>
  <si>
    <t>Board-level climate oversight. | Imported from the earlier 2024 evidence workbook; researcher personal verification is still required before treating this as final dissertation coding.</t>
  </si>
  <si>
    <t>KBank reports a 17.02% reduction in operational GHG emissions in 2024 versus 2020.</t>
  </si>
  <si>
    <t>Measured progress against baseline. | Imported from the earlier 2024 evidence workbook; researcher personal verification is still required before treating this as final dissertation coding.</t>
  </si>
  <si>
    <t>KBank includes an independent assurance statement for the 2024 sustainability reporting period.</t>
  </si>
  <si>
    <t>KBank TCFD / Sustainability Report 2024</t>
  </si>
  <si>
    <t>Assurance statement</t>
  </si>
  <si>
    <t>Independent assurance included; exact GHG scope should be retained. | Imported from the earlier 2024 evidence workbook; researcher personal verification is still required before treating this as final dissertation coding.</t>
  </si>
  <si>
    <t>KASIKORNBANK serve as Chief Environmental Officer, with the goal of positioning ESG risks and climate-related risks. This includes setting credit and Sustainable Development KBank as an environmental steward to create a net zero society. targets and frameworks by business sector to reducefinanced • Sustainable Development of KASIKORNBANK • Materiality Assessment The Board also establishes sustainability performance KPIs, covering emissions. • Stakeholder Engagement environmental management and net-zero emissions, applicable to Be a the Chief Executive Officer, senior management, and operating-level The Sustainable Development Sub-committee drives the Bank’s MOST TRUSTED BANK employees. sustainable development policies in line with</t>
  </si>
  <si>
    <t>KBANK sus report 2025.pdf</t>
  </si>
  <si>
    <t>p. 53</t>
  </si>
  <si>
    <t>and Sustainable Development A1.2 Paris alignment target: Yes, the Bank is committed to contributing to the global Net Zero effort, aligning How much does your Bank lend to/ Baht 400 - 500 billion in sustainable funding by 2030. (Various products offered to • Sustainable Development of KASIKORNBANK Has your bank set a long-term with Thailand’s aspirations. In pursuit of this commitment, the following information invest in green assets / loans and our customers which can be seen in the Sustainability Report 2025, p. 117 • Materiality Assessment portfolio-wide Paris-alignment target? related to emissions baseline/base year and climate scenario has been established: low-carbon activities and technologies? • Stakeholder Engagement To</t>
  </si>
  <si>
    <t>pecializing in Thai language and financial domains, • 1st place – COLING Finance Powered by KBank channels within the blueplus+ application, supporting QR code payments for merchants:more than 582,000 (Text Hyperlocally validated through international-level testing (CFA) and equipped Legal Challenge 2025 Statement of the Board of Directors fuel purchases, in-store products at PTTOR stations, and partner merchants, Augmented Large with risk analysis capabilities to support operations across KBank and Statement of the Chief Executive Officer including online purchasing through the blueplus+ application Language Extension) its group companies. Information of KASIKORNBANK YouTrip Powered YouTrip e-Wallet service for travelers, enablin</t>
  </si>
  <si>
    <t>p. 46</t>
  </si>
  <si>
    <t>GHG emissions and the related risks The total GHG emissions by scope within KAsset boundary are as follows:- GHG CY2025 CY2023 as based year GHG Categories Name Unit Categories 01 Jan - 31 Dec 2025 01 Jan - 31 Dec 2023 Scope 1 Fleet tCO2e 16 20 Scope 2 • Scope 3 (excluding AUM emissions) Purchased Electricity (location based) tCO2e 98.37 104.20 contributes the largest emissions where the MWh 207.08 219.37 top 3 significant sources of emissions are capital Purchased Electricity (Market based) tCO2e 0 0 goods, purchased goods and services and MWh 209 220 employee commuting which is in line with industry Total Scope 1 &amp; 2 (Market based only) tCO2e 16 20 norms. Scope 3 Category1 Purchased Goods &amp; Services tCO2e 827 1273 • The higher</t>
  </si>
  <si>
    <t>KBANK TCFD 2025.pdf</t>
  </si>
  <si>
    <t>The total GHG emissions by scope within KAsset boundary are as follows:- GHG CY2025 CY2023 as based year GHG Categories Name Unit Categories 01 Jan - 31 Dec 2025 01 Jan - 31 Dec 2023 Scope 1 Fleet tCO2e 16 20 Scope 2 • Scope 3 (excluding AUM emissions) Purchased Electricity (location based) tCO2e 98.37 104.20 contributes the largest emissions where the MWh 207.08 219.37 top 3 significant sources of emissions are capital Purchased Electricity (Market based) tCO2e 0 0 goods, purchased goods and services and MWh 209 220 employee commuting which is in line with industry Total Scope 1 &amp; 2 (Market based only) tCO2e 16 20 norms. Scope 3 Category1 Purchased Goods &amp; Services tCO2e 827 1273 • The higher emission of Scope 3 – cat 2 in 2025</t>
  </si>
  <si>
    <t>11 February 2026. KASIKORNBANK and Sustainable Development Corporate Governance and Good Governance Awards CDP Leadership Level • Sustainable Development of KASIKORNBANK • CDP Climate A List for four consecutive years (2022 - 2025) “Excellent” based on the Corporate Governance Report of Thai Listed Companies for 2025 • Materiality Assessment • CDP Water A List (2025) by the Thai Institute of Directors Association (IOD) • Stakeholder Engagement • CDP Forests A- (2025) Be a “Excellent and worthy as an example” based on the AGM Quality MOST TRUSTED BANK MSCI ESG Ratings Level “AAA” Assessment Program for 2025 • Customers A leader in ESG practices in the banking industry by the Thai Investors Association in cooperation with the Offic</t>
  </si>
  <si>
    <t>p. 96</t>
  </si>
  <si>
    <t>128 129 KASIKORNBANK / Sustainability Report 2025 KASIKORNBANK / Sustainability Report 2025 Enable INCLUSIVE GROWTH Enable INCLUSIVE GROWTH KASIKORNBANK Sustainability Report 2025 3.2 Investment in Green and Sustainability Bonds in 2028. The objective was to repay existing debt and to expand 4. Environmental and Sustainability Funds investments in renewable energy projects in Japan and Net Asset Value of Baht 41,375.55 million Thailand, in the name of both the company and subsidiaries. KBank’s investment in green • Sustainability-linked bonds of Minor International Public Company Contents and sustainability bonds totaled Baht Limited with a total value of Baht 13,000 million, comprising: Stateme</t>
  </si>
  <si>
    <t>ve measures and response actions, including incident reporting. Information under the SATI program is disseminated through static visuals and video clips via KBank’s website, K-Contact Center, branches, Statement of the Board of Directors and social media. In addition, the Bank conducts fraud awareness tests aligned with evolving scam techniques to further enhance Statement of the Chief Executive Officer Information of KASIKORNBANK the effectiveness of customer communications. Corporate Governance Strategic Directions of KASIKORNBANK KASIKORNBANK and Sustainable Development KBank is committed to good corporate governance with ethics, Opportunities and Risks • Sustainable Development of KASIKORNBANK transparency, and strict complia</t>
  </si>
  <si>
    <t>p. 25</t>
  </si>
  <si>
    <t>re Boundaries Alignment Yes Yes Yes • Environmental, Social, Governance Commercial Real Estate: To Monitor the greenhouse gas emission intensity per area to ensure it remains within the reduction pathway and targets. In progress In progress In progress and Economic Performance No No No • GRI Content Index The Bank is proactively expanding the scope of sector decarbonization strategies beyond thermal coal, aiming to address high • UN Principles for Responsible Banking Greenhouse Gas (GHG) emission sectors within its portfolio. The Bank has undertaken significant sustainable development activities Baseline Yes Yes Yes • Sustainability Awards and Assessments in accordance with guidelines and strategies set by the Board of Directors.</t>
  </si>
  <si>
    <t>p. 92</t>
  </si>
  <si>
    <t>tal and social impacts are systematically assessed and managed in our lending Reinforce and investment decisions. KBank’s commitment to transparency and accountability is further exemplified by its proactive approach to assurance. The information FUTURE-READY RESILIENCE disclosed in the 2025 report on the Principles for Responsible Banking (PRB) has undergone independent verification by a third-party • Risk Management Self-assessment summary: assurer. This external validation not only enhances the credibility and reliability of the disclosed information but also instills increased Does the CEO or other C-suite officers have regular oversight over the implementation of the Principles through the bank’s governance system? confidence</t>
  </si>
  <si>
    <t>ment Goals (SDGs) and the Paris Agreement. capital market landscape, and 3. Green Tech that will assist SCBX and our clients on the transition towards SCBX recognizes the urgency of tackling the climate a low-carbon and Net Zero economy.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t>
  </si>
  <si>
    <t>SCBX sus report 2022.pdf</t>
  </si>
  <si>
    <t>Emissions Scope 2 Spending on CSR Activities 7,743 hours 55.80% SCOPE 2 26.89% Commercial Initiatives Reduction in Water Consumption Reduction in Non-hazardous Waste 57% 17.14% 42.56% Community Investments compared with baseline in 2019 Spending on CSR Activities 35% Charitable Donations 8% LESS FOR BETTER | SCBX Sustainability Report 2022</t>
  </si>
  <si>
    <t>p. 13</t>
  </si>
  <si>
    <t>long terms. The Group. identification is the first step of Materiality Assessment under the Global Reporting Initiative (GRI) Standards, that involves internal and external stakeholders The Group materiality topics are approved by the Board of Directors and reviewed on a yearly basis through the SCBX 1 2 including customers, investors, regulators, Management Committee. and business partners. In 2022, SCBX identified a total of 123 materiality sustainability issues, which were Analyse the alignment with SCBX Assess and prioritise ESG issues with categorized into 31 topics. Of all topics, 12 enterprise risk management respect to importance to SCBX and we re c o n s i d e re d s i g n i fi c a nt a n d framework and SCBX strategic s</t>
  </si>
  <si>
    <t>eryone can of this success.” do it and it’s also fun.” Credit risk personnel Credit risk personnel Market risk personnel Operational risk personnel Human Capital Return on Investment Performance Indicator 2019 2020 2021 2022 Human capital return on investment 3.87 3.84 4.25 3.71 Total cost of SCBX Group Employee Training Hours employee development 171 Performance Indicator 2019 2020 2021 2022 2022 Target million THB Average training hour (hour/person) 68 49 44 53 40 LESS FOR BETTER | SCBX Sustainability Report 2022</t>
  </si>
  <si>
    <t>r data. I am proud to be part coding is easy; everyone can of this success.” do it and it’s also fun.” Credit risk personnel Credit risk personnel Market risk personnel Operational risk personnel Human Capital Return on Investment Performance Indicator 2019 2020 2021 2022 Human capital return on investment 3.87 3.84 4.25 3.71 Total cost of SCBX Group Employee Training Hours employee development 171 Performance Indicator 2019 2020 2021 2022 2022 Target million THB Average training hour (hour/person) 68 49 44 53 40 LESS FOR BETTER | SCBX Sustainability Report 2022</t>
  </si>
  <si>
    <t>SCBX OVERVIEW PLANTING DIGITAL SEEDS ENRICHING LIVES GROWING ECONOMIC RESILIENCE REACHING CLIMATE NEUTRALITY FOUNDATION FACTBOOK 15 Message from the Chairman SCBX at a Glance Sustainability at SCBX of the Board of Directors and Chief Executive Officer SUSTAINABILITY GOVERNANCE SCBX To ensure adherence to the SCBX Group Sustainability Policy and framework with systematic deployment, the sustainability BOARD OF DIRECTORS governance structure at the Group level has been Oversees overall Group sustainability policy and framework, ensures effective governance, specified and tasked with roles and responsibilities and regularly monitors performance from the Board of Directors to subsidiaries in order to embed sustainabilit</t>
  </si>
  <si>
    <t>p. 16</t>
  </si>
  <si>
    <t>lls PERFORMANCE IN 2022 SCBX Technology Governance 01 Director Level Established effective governance and Centers of Excellence (CoE) Technology Committee to strengthen new capacities Chairman: Mr. Pailin Chuchottaworn (Independent Director, Chairman of Technology Committee, and Member of the Executive Committee) Core technologies and data capabilities of the Group are continuously being built and strengthened in order to orchestrate Oversight of SCBX and SCBX Group's technology group synergies to enable and accelerate strategy to ensure alignment with the Group's goals subsidaries’ digital foundations and and objectives while addressing the integrity of the capabilities. In doing so, SCBX has set up a technology services and best</t>
  </si>
  <si>
    <t>Net Zero and OVERVIEW SPECIAL PLANTING ENRICHING GROWING REACHING FOUNDATION FACTBOOK REPORT DIGITAL LIVES ECONOMIC CLIMATE SEEDS RESILIENCE NEUTRALITY Climate Tech Management Approach SCBX Group recognizes the urgency of maintaining the global temperature rise within the Paris Agreement threshold of 1.5°C, and thus announced the ambition to achieve the Operational Net Zero by 2030 and Net Zero Financed Emissions by 2050. Furthermore, SCBX Group seeks to Challenge and Opportunity support all stakeholders in adaptin</t>
  </si>
  <si>
    <t>SCBX sus report 2023.pdf</t>
  </si>
  <si>
    <t>p. 93</t>
  </si>
  <si>
    <t>Our timeframe for achieving the goal also precedes Thailand’s national target, which is set to beachieve by 2065. This is a challenging mission that SCBX is ready to put efforts into To achieve the Operational Net Zero by 2030, SCBX Group has implemented a wide range elevating internal management while navigating our clients and stakeholders through the of initiatives to reduce GHG emissions from our own's operations and outlined mid- and climate crisis. long-term roadmaps for future initiatives, including: 01 Scope 1 Shifting to R32 refrigerant air conditioners Become a Net Zero Fintech by SCBX Group plans to replace 3,017 units of R22 air conditioners at the head office and SCB branches nationwide with R32 air refrigerant which</t>
  </si>
  <si>
    <t>p. 94</t>
  </si>
  <si>
    <t>s so that their to steer the course back to the pathway. financial flows become consistent with 1.5°C outcomes. In power generation portfolio of SCB, the result of SDA approach indicates that repayment of Currently, the SBTi Financial Institutions Net Zero Standard has not been finalized to communicate current outstanding could drive emissions lower through itself because SCB financed many what is a long-term target for SCBX. Therefore, SCBX and SCB worked together with a support renewable energy project in the past. However, in order to also drive the revenue while from external decarbonization expert to set near-term targets in accordance with SBTi Financial balancing decarbonization pathway, it has been studied and informed tha</t>
  </si>
  <si>
    <t>SCBX Climate report 2023.pdf</t>
  </si>
  <si>
    <t>p. 33</t>
  </si>
  <si>
    <t>.12 Business Loan - SME2 0.70 4.11 0.61 4.16 0.58 4.13 Mortgage Loan 0.62 4.02 0.62 4.02 0.60 4.01 Investment in Listed Equity and Corporate Bond2 0.00 2.15 0.00 3.16 0.00 3.01 TOTAL 7.27 3.95 6.57 3.87 6.69 3.86 1 Only scope 1 and scope 2 are included in financed emissions 2 In-scope asset class of assurance SCBX’s Financed Emissions1 Intensity per Asset Class and Business Segment 2021 2022 2023 Financed Emissions PCAF Data Financed Emissions PCAF Data Financed Emissions PCAF Data Asset Class Intensity3 Quality Score Intensity3 Quality Score Intensity3 Quality Score (tCO2e per million USD) (Highest quality = 1 (tCO2e per million USD) (Highest quality = 1 (tCO2e per million USD) (Highest quality = 1 Lowest quality = 5) Lowest qual</t>
  </si>
  <si>
    <t>For SCBX Group, in particular, SCB calculates financed and investment emissions in accordance sources of greenhouse gas emissions. However, challenge remains in collecting and compiling with the Greenhouse Gas Protocol Scope 3 Category 15 by using the PCAF Global GHG accurate data because of data availability, a number of entities in portfolio as well as Accounting and Reporting Standard for the financial industry. Notwithstanding, identifying greenhouse gas accounting approach of those entities. However, this does not mean the near-term absolute emissions reduction target does not mean seeking to reduce the emission financial institutions should not report this important data, rather they should develop a to zero, rather it is a</t>
  </si>
  <si>
    <t>p. 29</t>
  </si>
  <si>
    <t>t while navigating our clients and stakeholders through the of initiatives to reduce GHG emissions from our own's operations and outlined mid- and climate crisis. long-term roadmaps for future initiatives, including: 01 Scope 1 Shifting to R32 refrigerant air conditioners Become a Net Zero Fintech by SCBX Group plans to replace 3,017 units of R22 air conditioners at the head office and SCB branches nationwide with R32 air refrigerant which have low global warming Mitigating Operational GHGs emissions potential (GWP) and no destructive impact on the ozone layer. The company upgraded 400 air conditioning units in 2023, or 13% of the targeted replacements. SCBX Group continues to manage environmental impacts resulted from our busines</t>
  </si>
  <si>
    <t>Assurance OVERVIEW SPECIAL PLANTING ENRICHING GROWING REACHING FOUNDATION FACTBOOK REPORT DIGITAL LIVES ECONOMIC CLIMATE SEEDS RESILIENCE NEUTRALITY Statement  ) + ) )/..0- ) / / ( )/  . -1 /$*). 0-/# -* . -1 /$*). ) !$) $)".Ѷ(  0-$)"/#  ..0- )  )" " ( )/Ѷ - ѷ •  '$ $'$/4ѷ / ( ) " ( )/.4./ (. - +-*+ -'4 !$) !*-/# . ' /  )1$-*)( )/ ' ) .* $ '$) $ /*-.ѵ *2 1 -Ѷ  ' /$)"/**(+ )4 $($/ ’s Sustainability Report for the calendar 2  '$ 1 /# /.#*0'  *).$ -$)/ -$(1 -$!$ /$*)/*$(+-*1 /# - '$ $'$/4*!$/. $. '*.  /  ) $)!*-( /$*)ѵ 4 -спстҗр./ )0 -4спст–тр./ ( -спстҘ   LRQA’s standards, competence and independence #$. ..0- )  / / ( )/</t>
  </si>
  <si>
    <t>p. 145</t>
  </si>
  <si>
    <t>2023 SUSTAINABILITY REPORT OVERVIEW SPECIAL PLANTING ENRICHING GROWING REACHING FOUNDATION FACTBOOK REPORT DIGITAL LIVES ECONOMIC CLIMATE SEEDS RESILIENCE NEUTRALITY SCBX Climate Change Management per TCFD's BOARD OF DIRECTORS Approve policy, oversee SCBX Group’s sustainability and ESG risk governance, foster an ESG culture Reccommendations across the organization, ensure effective management and annual performance monitoring RISK OVERSIGHT COMMITTEE EXECUTIVE COMMITTEE Endorse ESG policy and ESG risk appetite of the SCBX Endorse SCBX Group’s policy and framework on ESG and 01 Group, ensure group-wide implementation of risk sustainability risk governance with at least semiannual management policy/ strategy to address s</t>
  </si>
  <si>
    <t>corporate bond 100% 1.5°C target in 2040 1.5°C target in 2040 2022 2028 2040 2022 2028 2040 The CDP-WWF Temperature Rating methodology The CDP-WWF Temperature Rating methodology is the Implied Temperature Rise (ITR) The progress of ITR is under development and will be available in the next report. approach approved by SBTi. It is an open-source framework developed by CDP (formerly the Carbon Disclosure Project) and WWF (World Wide Fund for Nature) to assess the ambition of corporate greenhouse gas emission reduction targets. • Target Protocol: Converts individual emissions targets into temperature estimates using scientific climate scenarios from the IPCC Special Report on 1.5°C. It generates regression models for estimated warmin</t>
  </si>
  <si>
    <t>ocess: • Energy efficiency • Energy-efficient systems, improvement clean or renewable Company Verified/ Approved by • Clean mobility/ energy transportation • Environmentally friendly Gulf Energy Development DNV Business Assurance Australia Ltd. • Pollution control or zero-waste manufacturing and Energy Absolute PCL DNV GL (Thailand) Co., Ltd. service • Electric vehicles or clean Xayaburi Power Co., Ltd DNV Business Assurance Australia Ltd. energy Maximum capital Maximum capital 4,584 million Baht worth of sustainable bond value 30-50 million for 100 million Baht 150 million Baht Or 3.7 of the total bond issuance value working capital with (No collateral based on the Bank of no collateral required for 50 Thailand’s guidelines Up to</t>
  </si>
  <si>
    <t>p. 88</t>
  </si>
  <si>
    <t>SCBX commits to Operational Net Zero by 2030 and Net Zero Financed Emissions by 2050.</t>
  </si>
  <si>
    <t>SCBX Sustainability Report 2024</t>
  </si>
  <si>
    <t>p.76</t>
  </si>
  <si>
    <t>https://www.scbx.com/wp-content/uploads/2025/08/SCBX-SR-2024_ENG2.pdf</t>
  </si>
  <si>
    <t>Explicit net-zero targets and years. | Imported from the earlier 2024 evidence workbook; researcher personal verification is still required before treating this as final dissertation coding.</t>
  </si>
  <si>
    <t>SCBX has an SBTi-approved target to reduce absolute Scope 1 and 2 emissions by 90% by 2030 from a 2023 base year.</t>
  </si>
  <si>
    <t>p.77</t>
  </si>
  <si>
    <t>Quantitative interim target, baseline and year. | Imported from the earlier 2024 evidence workbook; researcher personal verification is still required before treating this as final dissertation coding.</t>
  </si>
  <si>
    <t>SCBX reports that its near-term climate targets were validated by SBTi in 2024.</t>
  </si>
  <si>
    <t>Explicit 2024 SBTi validation. | Imported from the earlier 2024 evidence workbook; researcher personal verification is still required before treating this as final dissertation coding.</t>
  </si>
  <si>
    <t>SCBX reports 2024 Scope 1 and Scope 2 emissions quantitatively.</t>
  </si>
  <si>
    <t>p.112</t>
  </si>
  <si>
    <t>SCBX reports Scope 3 categories and financed emissions, including Category 15.</t>
  </si>
  <si>
    <t>pp.78,80,112</t>
  </si>
  <si>
    <t>Quantitative material Scope 3 / financed emissions. | Imported from the earlier 2024 evidence workbook; researcher personal verification is still required before treating this as final dissertation coding.</t>
  </si>
  <si>
    <t>SCBX presents annual Scope 1, 2 and selected Scope 3 data for 2021-2024.</t>
  </si>
  <si>
    <t>SCBX allocates THB 200bn to climate mitigation/adaptation by 2030 and USD 200m initial Climate Tech investment.</t>
  </si>
  <si>
    <t>Explicit quantified financial resources. | Imported from the earlier 2024 evidence workbook; researcher personal verification is still required before treating this as final dissertation coding.</t>
  </si>
  <si>
    <t>SCBX sustainability governance engages board-level oversight of climate strategy and risk.</t>
  </si>
  <si>
    <t>SCBX Sustainability / Climate Report 2024</t>
  </si>
  <si>
    <t>Board-level oversight reported. | Imported from the earlier 2024 evidence workbook; researcher personal verification is still required before treating this as final dissertation coding.</t>
  </si>
  <si>
    <t>SCBX reports a 15% reduction in operational GHG emissions in 2024 versus its 2023 baseline.</t>
  </si>
  <si>
    <t>Measured performance against baseline. | Imported from the earlier 2024 evidence workbook; researcher personal verification is still required before treating this as final dissertation coding.</t>
  </si>
  <si>
    <t>SCBX's 2024 sustainability report includes AA1000 moderate-level independent assurance.</t>
  </si>
  <si>
    <t>p.129</t>
  </si>
  <si>
    <t>Independent assurance with stated standard and scope. | Imported from the earlier 2024 evidence workbook; researcher personal verification is still required before treating this as final dissertation coding.</t>
  </si>
  <si>
    <t>Overview Planting Digital Seeds Enriching Lives Growing Economic Resilience Reaching Climate Neutrality Foundation SCBX Looking Ahead Factbook Net Zero Key Target and Performance SCBX Group is firmly committed to enhancing its organizational capabilities to support clients in their transition toward a net-zero economy, while proactively advancing investments in climate technologies to achieve net-zero emissions by 2050. Business Impacts Target Globally, climate change has intensified at an unprecedented pace, exerting far-reaching impacts on economies, societies, and the financial sector—which serves as an intermediary • 90% reduction in operational GHG e</t>
  </si>
  <si>
    <t>SCBX sus report 2025.pdf</t>
  </si>
  <si>
    <t>ombined, the temperature score stood at 3.13°C, portfolio and its investments in listed equity and corporate bonds. Following the CDP-WWF higher than the target of 2.59°C, although representing a 2% improvement from the baseline. methodology, 2021 was selected as the base year for calculating temperature scores and This does not mean that the customers are not following their climate commitments. However, establishing a pathway toward SCBX’s target temperature. Targets are set across two scope the methodology requires customers to have GHG reduction targets where the target year is coverages — Scope 1 and Scope 2 of customers or investees, and Scope 1, Scope 2, and Scope 3 between 5-15 years from the current reporting year. Theref</t>
  </si>
  <si>
    <t>SCBX Climate report 2025.pdf</t>
  </si>
  <si>
    <t>2028 exchange Scope Align portfolio temperature score 1+2+3 by invested value from 3.20°C in 2021 to 2.76°C by 2028 All of the above near-term targets were validated and approved by the Science Based Targets initiative (SBTi) in 2024. SCBX SUSTAINABILITY REPORT 2025 66</t>
  </si>
  <si>
    <t>Official SBTi validation/approval applicable to the observation year was evidenced. | AI-assisted evidence retrieval; not yet personally verified by the researcher.</t>
  </si>
  <si>
    <t>Introduction Governance Strategy Risk Management Metrics and Targets Factbook In accordance with the SBTi criteria, SCBX has set ITR targets covering both its corporate loan For Scope 1, Scope 2, and Scope 3 emissions combined, the temperature score stood at 3.13°C, portfolio and its investments in listed equity and corporate bonds. Following the CDP-WWF higher than the target of 2.59°C, although representing a 2% improvement from the baseline. methodology, 2021 was selected as the base year for calculating temperature scores and This does not mean that the customers are not following their climate commitments. However, establishing a pathway toward SCBX’s target temperature. Targets are s</t>
  </si>
  <si>
    <t>ional standards. • Revenue and investment emission factors used in calculation of financed emissions are from financed emissions model of an external professional advisor which use data set (emissions, Emission Factors (Scope 3 Category 1, 5, 6 and 7) revenue, and company assets data) from a global leading data provider used for revenue and investment calculation in specific sector, e.g. power generation in Thailand. This is to make sure that Emission factors for Scope 3 GHG emissions are selected based on the nature of each activity the model retrieves and uses the sectoral data most specifically to the country where it operates. and the availability of underlying data to ensure methodological appropriateness and • Transaction be</t>
  </si>
  <si>
    <t>p. 50</t>
  </si>
  <si>
    <t>work13 to provide a structured approach Renewable Energy for defining, governing, and overseeing sustainable finance activities. The Framework advances Between 2023 and 2025, SCB approved THB 75.8 billion in sustainable financing to renewable SCBX’s sustainability strategy by supporting the mobilization of capital toward sustainable energy projects, covering 42 projects across the portfolio, including solar rooftop projects and economic activities that contribute to positive ESG outcomes. Complementing this, the Green, large-scale power generation projects such as solar farms, hydropower and offshore wind projects. Blue and Social Finance Framework14 sets out the eligible activities, assessment criteria, and governance processes u</t>
  </si>
  <si>
    <t>Management Metrics and Targets Factbook Roles and Responsibilities of Governing Bodies Governing Body Roles and Responsibilities Meeting Frequency Governing Body Roles and Responsibilities Meeting Frequency Board of The Board of Directors (BOD) plays a pivotal role in At least six times Risk Oversight The Risk Oversight Committee (ROC) is responsible At least six times Directors1 defining the Group's strategic direction and per year Committee3 for reviewing the adequacy and effectiveness of each year ensuring that business operations are aligned with risk management policies, frameworks, strategies, the vision, mission, and targets. The BOD is responsible risk appetite and tolerance levels, as well as related for overseeing effect</t>
  </si>
  <si>
    <t>Introduction Governance Strategy Risk Management Metrics and Targets Factbook In accordance with the SBTi criteria, SCBX has set ITR targets covering both its corporate loan For Scope 1, Scope 2, and Scope 3 emissions combined, the temperature score stood at 3.13°C, portfolio and its investments in listed equity and corporate bonds. Following the CDP-WWF higher than the target of 2.59°C, although representing a 2% improvement from the baseline. methodology, 2021 was selected as the base year for calculating temperature scores and This does not mean that the customers are not</t>
  </si>
  <si>
    <t>Overview Planting Digital Seeds Enriching Lives Growing Economic Resilience Reaching Climate Neutrality Foundation SCBX Looking Ahead Factbook Assurance Statement Planning and Risk Assessment: Materiality INDEPENDENT ASSURANCE STATEMENT ▪ Reviewed SCBX's ESG materiality assessment The Report addresses the range of environmental, and identified key Environmental and Social social and economic issues of concern that SCBX performance indicators subject to assurance has identified as being of highest material To: The Stakeholders of SCB X Public Company Limited ▪ Conducted risk analysis to determine which data importance. The identification of material issues</t>
  </si>
  <si>
    <t>p. 118</t>
  </si>
  <si>
    <t>OUR BUSINESS OUR STRATEGY ESG FOCUS OUR ACTION PERFORMANCE Climate Resilience Promoting Biomass as Coal Substitute and Move Forward to Net Zero SDGs 7 9 12 13 15 17 Target 2022 Performance Net Zero by 2050 30.12 million ton CO2eq emission At least 20% reduction by 2030 from base year 2020 12.05% Global warming and climate crisis are impacting more intensely quality of life of people across the world. 13% less energy use by 2025 from BAU 2007 6.73% All countries participating in efforts to meet the Net Zero by 2050. Furthermore in 2022, there was also an energy crisis caused by the effects of war. This affects fossil fuel prices higher and more vol</t>
  </si>
  <si>
    <t>SCG sus report 2022.pdf</t>
  </si>
  <si>
    <t>Strategy Implementation Measurement 2018 2019 2020 2021 2022 Target • Select and • Evaluate vendors • Evaluate suppliers 100% 100% 100% 100% 100% 100% suppliers assess suppliers in terms of quality, under Approved under Approved with the capability cost and delivery Vendor List (AVL) Vendor List (AVL) for sustainable (QCD Supplier with vendor receive vendor business. Evaluation). evaluation (QCD evaluation Supplier Evaluation). (QCD Supplier Evaluation). • Conduct risk • Conduct a supplier • Assess and 100% 100% 100% 100% 100% Economic assessment assessment program classify</t>
  </si>
  <si>
    <t>p. 132</t>
  </si>
  <si>
    <t>Strategy Implementation Measurement 2018 2019 2020 2021 2022 Target • Select and • Evaluate vendors • Evaluate suppliers 100% 100% 100% 100% 100% 100% suppliers assess suppliers in terms of quality, under Approved under Approved with the capability cost and delivery Vendor List (AVL) Vendor List (AVL) for sustainable (QCD Supplier with vendor receive vendor business. Evaluation). evaluation (QCD evaluation Supplier Evaluation). (QCD Supplier Evaluation). • Conduct risk • Conduct a supplier • Assess and 100% 100% 100% 100% 100% Economic assessment assessment program classify critical procurement procurement procurement procurement procurement and supplier and segmentation of suppliers. spend spend spend spend spend s</t>
  </si>
  <si>
    <t>/ companies with production processes, excluding reports WBCSD GHG Emissions Protocol: with no significant impact from entities such as sales 1. Reporting Scope offices, R&amp;D laboratories, services and holding 1.1 Direct Scope 1 emissions from manufacturing companies. processes and activities that are owned and controlled Data sources, i.e., accounting evidence, meter by SCG. Examples include combustion of coal reading, production process data, evidence-based or natural gas in boilers, furnaces, vehicles; emissions estimation are presented in absolute value. For specific associated with chemical reaction in production consumption/emission, disclosure since 2016 has been processes such as calcination in cement plant. Excluded improv</t>
  </si>
  <si>
    <t>p. 108</t>
  </si>
  <si>
    <t>OUR BUSINESS OUR STRATEGY ESG FOCUS OUR ACTION PERFORMANCE GHG Scope 3 SCG has expanded its greenhouse gas emissions reporting SCG has a plan to verify GHG scope 3 data by 3rd party to include GHG scope 3 in aligning with the Corporate within 2023. SCG has managed GHG scope 3 across the Value Chain (Scope 3) Accounting and Reporting Standard value chain through collaboration with significant suppliers (WRI/WBCSD). As such, it has collected and reported and related stakeholders. In 2022, SCG has started to scope 3 emissions data of the carbon footprint of its engage with suppli</t>
  </si>
  <si>
    <t>p. 133</t>
  </si>
  <si>
    <t>he guidelines of step to raise the climate awareness and GHG reduction. the Thailand Greenhouse Gas Management Organization (Public Organization). 2022 GHG Scope 3 emissions Unit: thousand tons carbon dioxide equivalent Scope 1 : 27,236.39 Scope 3 : 9,355.75 Direct Emission Indirect Emission 1. Purchased goods and services 4,644.20 2. Capital goods 0 3. Fuel and energy-related activities 1,441.81 Upstream 4. Upstream transportation and distribution 1,820.29 5. Waste generated in operations 2.67 Owned and Controlled 6. Business travel 13.24 Activities by SCG 7. Employees’ commuting 6.86 8. Upstream leased assets 0 9. Downstream transportation 457.83 and distribution 10. Processing of sold products 43.31 Downstream Scope 2 : 2,880.4</t>
  </si>
  <si>
    <t>+ Emissions 20% Check Dams Project Plant Trees to from Sales of SCG SCGP Renewable Energy by 2030 by 2030 Absorb 5 MT CO2eq Green Choice to Recyclable In Thailand and Abroad by 2050 67% by 2030 Packaging by 2023 by 2025 Investment Expense Investment Expense 2,452 Million Baht 988 Million Baht 2,276 Million Baht 2,200 Million Baht Invest in energy efficiency and renewable energy projects Dedicate to environmental innovation, expand business and R&amp;D in deep technology. into circular economy business and invest in renewable energy businesses. Reduce Inequality 3 Enhance Collaboration 4 Create Deliver 100,000 50,000 Jobs Scholarships by 2030 across ASEAN Investment Expense 247 Million Baht 259 Million Baht Expense 31 Million Baht Crea</t>
  </si>
  <si>
    <t>Structure of the Board of Directors Governance Activities SCG’s Board of Directors consists of individuals with a diverse range of knowledge, of the Board of Directors competency, expertise, and experience consistent for SCG’s business operations. They play a key role in establishing SCG’s vision, missions, and business strategies The Board of Directors, together with the to create sustainable value for both SCG and stakeholders. top executives, establishes strategies, short-term, medium-term, and long-term operational policies, an</t>
  </si>
  <si>
    <t>p. 36</t>
  </si>
  <si>
    <t>ASSURANCE METHODOLOGY SGS’s assurance engagements are carried out in accordance with assurance procedure. The assurance comprised a combination of • SCG’s Management interviews, including the Sustainable Development team with responsibility for performance in the areas within scope • Interview with data owners &amp;/or managers responsible for internal data collection and reporting databases • Document review of relevant systems, policies, and procedures where available • Understanding, analysing and sample testing the</t>
  </si>
  <si>
    <t>p. 144</t>
  </si>
  <si>
    <t>ion for concrete implementation. • Disclose social information in accordance with international standards and stakeholders’ expectations. Climate Change • Establish policies, strategies, goals, and guidelines to achieve net zero emissions, 12 &amp; Energy in line with the Nationally Determined Contributions (NDCs) of each country, covering (monthly) Committee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t>
  </si>
  <si>
    <t>SCG sus report 2023.pdf</t>
  </si>
  <si>
    <t>Changes in policies, rules, regulations, and requirements to expedite decarbonization Risk Opportunity As the global temperature may rise by 1.5 degrees Celsius The COP28 Conference called for the tripling up the global by 2030, concerted efforts to achieve net-zero emissions are renewable energy capacity and the doubling down of energy essential. This may also involve tightening policy and regulatory, efficiency by 2030, which would serve as a crucial catalyst which will require the business sector to adapt. for a energy transition. Financial Materiality Impact Materiality Targets • The impact of rising fossil fuel prices • Scope 1 and 2 GHG emissions • Net zero greenhouse gas emissions and energy volatility was reduced by were r</t>
  </si>
  <si>
    <t>p. 41</t>
  </si>
  <si>
    <t>planting to work towards achieving the United Nations’ 17 Sustainable trees to sequester carbon. In addition, SCG has joined Development Goals, which are founded upon the principles the Science Based Target Initiative (SBTi), which promotes of balancing economic, social, and environmental systems, and certifies near-term and long-term GHG reduction targets before the window of opportunity closes. for organizations and businesses based on scientific calculations. SCG’s 2023 Sustainability Report seeks to capture ideas, As a result, in 2023, SCG received the validation from SBTi strategies, and activities driven from the dedication of every for its near-term targets to reduce GHG Scope 1 and 2 business unit within SCG to foster par</t>
  </si>
  <si>
    <t>enhouse gas emissions by 25% • Energy efficiency in production processes to Mighty River for sustainable by 2030 compared to the base year was improved, leading to a 7.28% management of water resource of 2020 and reduce Scope 3 reduction in energy consumption including upstream, midstream emissions from fossil fuel sold to in 2023 (compared to the base year and downstream through more than external customers by 25% of 2007.) 120,000 check dams by 2021 compared to the base year • The proportion of hydraulic cement or low • Community forests in 38 communities of 2021 carbon cement increased to 63% in 2023. were expanded under the Conserving • Decreasing energy consumption • 575 green labeled products were Water from Mountain to Migh</t>
  </si>
  <si>
    <t>ncy by 2030, which would serve as a crucial catalyst which will require the business sector to adapt. for a energy transition. Financial Materiality Impact Materiality Targets • The impact of rising fossil fuel prices • Scope 1 and 2 GHG emissions • Net zero greenhouse gas emissions and energy volatility was reduced by were reduced by 20.91% compared by the 2050 increasing the proportion of alternative to the base year of 2020. • Achieving near-term targets certified energy by 24.46% and boosting renewable • Collective efforts for adaptation under by SBTi to reduce Scope 1 and 2 energy usage by 229 megawatts in 2023. the Conserving Water from Mountain greenhouse gas emissions by 25% • Energy efficiency in production processes to M</t>
  </si>
  <si>
    <t>OUR BUSINESS GOVERNANCE OUR STRATEGY ESG FOCUS OUR ACTION PERFORMANCE Investments for Sustainable Development Invest in energy efficiency, Reduce “Plant Beats Investment renewable energy Increase 100% Investment GHG Scope Heat Project” 4,743 projects, invest Revenue SCGP 268 1&amp;2 Plants Trees Million Baht in renewable from Sales Recyclable Million Emissions to Absorb Expense energy businesses, to 67% Packaging Baht 25% 5 MT CO2 1,070 and R&amp;D in deep by 2030 by 2025 Expense by 2030 by 2050 Million Baht technology. 1,851 Million Baht Actively develop the environmental innovation, and ex</t>
  </si>
  <si>
    <t>p. 44</t>
  </si>
  <si>
    <t>Structure of the Board of Directors Gender Diversity Tenure SCG’s Board of Directors consists of individuals with a diverse range Female: 3 Male: 12 ≥7 years 1-3 years of skills, experience, knowledge, and, expertise consistent with SCG’s business operations. They play a key role in establishing SCG’s vision, 2 missions, and business strategies to create sustainable value for both 20% persons SCG and stakeholders, without any discrimination based on other 7 6 persons characteristics, such as gender, age, ethnicity, nationality, and</t>
  </si>
  <si>
    <t>so involve tightening policy and regulatory, efficiency by 2030, which would serve as a crucial catalyst which will require the business sector to adapt. for a energy transition. Financial Materiality Impact Materiality Targets • The impact of rising fossil fuel prices • Scope 1 and 2 GHG emissions • Net zero greenhouse gas emissions and energy volatility was reduced by were reduced by 20.91% compared by the 2050 increasing the proportion of alternative to the base year of 2020. • Achieving near-term targets certified energy by 24.46% and boosting renewable • Collective efforts for adaptation under by SBTi to reduce Scope 1 and 2 energy usage by 229 megawatts in 2023. the Conserving Water from Mountain greenhouse gas emissions by</t>
  </si>
  <si>
    <t>joined Development Goals, which are founded upon the principles the Science Based Target Initiative (SBTi), which promotes of balancing economic, social, and environmental systems, and certifies near-term and long-term GHG reduction targets before the window of opportunity closes. for organizations and businesses based on scientific calculations. SCG’s 2023 Sustainability Report seeks to capture ideas, As a result, in 2023, SCG received the validation from SBTi strategies, and activities driven from the dedication of every for its near-term targets to reduce GHG Scope 1 and 2 business unit within SCG to foster participation across all greenhouse gas emissions by at least 25% by 2030 sectors in order to drive a transition towards</t>
  </si>
  <si>
    <t>SCG states Net Zero GHG emissions by 2050 for Scope 1 and 2.</t>
  </si>
  <si>
    <t>SCG Climate Resilience and Energy</t>
  </si>
  <si>
    <t>https://www.scgsustainability.com/en/climate-resilience-and-energy-en/</t>
  </si>
  <si>
    <t>SCG targets a 25% Scope 1 and 2 reduction by 2030 from 2020 and 25% Scope 3 reduction by 2031 from 2021.</t>
  </si>
  <si>
    <t>Quantitative interim targets and baselines. | Imported from the earlier 2024 evidence workbook; researcher personal verification is still required before treating this as final dissertation coding.</t>
  </si>
  <si>
    <t>SCG states its near-term targets were validated by SBTi in 2023 and remained applicable in 2024.</t>
  </si>
  <si>
    <t>SBTi section</t>
  </si>
  <si>
    <t>Entity-level validated near-term targets. | Imported from the earlier 2024 evidence workbook; researcher personal verification is still required before treating this as final dissertation coding.</t>
  </si>
  <si>
    <t>SCG discloses annual Scope 1 and 2 GHG emissions and 2024 performance.</t>
  </si>
  <si>
    <t>Metrics and targets</t>
  </si>
  <si>
    <t>Quantitative Scope 1 and 2 reporting. | Imported from the earlier 2024 evidence workbook; researcher personal verification is still required before treating this as final dissertation coding.</t>
  </si>
  <si>
    <t>SCG reports Scope 3 performance, including emissions from use of sold fossil fuels.</t>
  </si>
  <si>
    <t>Quantitative material Scope 3 evidence. | Imported from the earlier 2024 evidence workbook; researcher personal verification is still required before treating this as final dissertation coding.</t>
  </si>
  <si>
    <t>SCG compares 2024 reductions against 2020 and 2021 baselines and reports annual sustainability metrics.</t>
  </si>
  <si>
    <t>Comparable baseline/time-series evidence. | Imported from the earlier 2024 evidence workbook; researcher personal verification is still required before treating this as final dissertation coding.</t>
  </si>
  <si>
    <t>SCG uses MACC and an internal carbon price of USD 25/tCO2 to prioritize and support transition investment.</t>
  </si>
  <si>
    <t>Operational strategies</t>
  </si>
  <si>
    <t>Specific resource-allocation mechanism. | Imported from the earlier 2024 evidence workbook; researcher personal verification is still required before treating this as final dissertation coding.</t>
  </si>
  <si>
    <t>SCG reports Board oversight and an Environmental Sustainability Development Committee supporting Net Zero governance.</t>
  </si>
  <si>
    <t>Corporate governance</t>
  </si>
  <si>
    <t>Explicit board-level oversight. | Imported from the earlier 2024 evidence workbook; researcher personal verification is still required before treating this as final dissertation coding.</t>
  </si>
  <si>
    <t>SCG reports 2024 reductions versus baselines for Scope 1+2 and Scope 3.</t>
  </si>
  <si>
    <t>Measured progress versus baseline/targets. | Imported from the earlier 2024 evidence workbook; researcher personal verification is still required before treating this as final dissertation coding.</t>
  </si>
  <si>
    <t>2024 pilot evidence pass: Verified source; exact 2024 assurance page to capture</t>
  </si>
  <si>
    <t>SCG sustainability reporting includes third-party verification/assurance of sustainability performance.</t>
  </si>
  <si>
    <t>SCG Sustainability / 2024 reporting</t>
  </si>
  <si>
    <t>https://scc.listedcompany.com/misc/one-report/2024/20250225-scc-one-report2024-en.pdf</t>
  </si>
  <si>
    <t>Independent verification is part of SCG sustainability reporting. | Imported from the earlier 2024 evidence workbook; researcher personal verification is still required before treating this as final dissertation coding.</t>
  </si>
  <si>
    <t>ic and sustained action. Throughout 2025, SCG’s sustainability actions were initiatives, we have conserved and restored over 500,000 rai of green space as of 2025, strengthening ecological anchored by three key pillars: Net Zero, Nature Positive, and Inclusive Society. balance and long-term natural resource security. This effort is coupled with localized water management, such as the construction and maintenance of check dams to improve water retention and mitigate the long- 1. Net Zero term risks of floods and droughts. These initiatives safeguard the natural resources essential to both our SCG has committed to a target of Net Zero greenhouse gas (GHG) emissions by 2050, backed by clear short- and business operations and local co</t>
  </si>
  <si>
    <t>SCG sus report 2025.pdf</t>
  </si>
  <si>
    <t>522,750 4,553,608 GRI 305-1 Renewable Materials and Recycled Materials N/A 10,825,712 8,564,830 8,929,642 9,101,794 GHG emission reduciton compare 717,668 4,126,412 7,159,343 8,763,603 5,184,571 GRI 305-5 (Tons)(2) with base year 2020 (Tons CO2)(1) (%) N/A 12.44 10.44 10.12 10.09 (%) 2.09% 12.05% 20.91% 25.59% 15.14% NA = Not Available GHG Scope 3 (Tons CO2)(2) 15,603,650 10,014,394 10,606,251 10,695,208 15,497,603 GRI 305-3 1 year to Incorporate environmental and safety performance from operations overseas (1) st Within SGS’s limited assurance scope (2) 1. Purchased goods and services 5,036,763 4,672,130 5,303,395 5,822,774 6,433,066 (Tons CO2) Production Raw Materials 2. Capital goods (Tons CO2) 0 0 0 53,830 101,570 83.50 Mil</t>
  </si>
  <si>
    <t>p. 49</t>
  </si>
  <si>
    <t>s, such as CCUS, hydrogen, and electrification. SCG is firmly on the path toward achieving Net Zero greenhouse gas emissions by 2050 and is working towards its targets, validated by the Science Based Targets Initiative (SBTi), to reduce direct and energy-related emissions 2) Analyzing Transition Risks and Opportunities Analyze the impact of carbon mechanisms, (Scopes 1 and 2) by 25% by 2030 compared to a 2020 base year, and cut value chain emissions from fossil fuel such as CBAM and ETS. Utilizing insights into policy, technology, and market Assess market demand for low-carbon products. sales to external customers (Scope 3) by at least 25% by 2031 against a 2021 base year. To drive these goals, trends to ensure precise decarboniza</t>
  </si>
  <si>
    <t>p. 10</t>
  </si>
  <si>
    <t>ormance Data 2021 2022(1) 2023 2024 2025 GRI Standards SASB Performance Data 2021 2022 2023 2024 2025(3) GRI SASB Standards Production (Tons)(2) 83,339,510(1) 85,891,647 77,518,763 79,120,677 83,591,508 EM-CM-000.A GHGs Scope 1 and 2 (Tons CO2) 33,525,541 30,116,798 27,083,867 25,479,607 29,058,639 Raw Materials (Tons)(2) 71,342,275 86,758,219 82,039,769 88,201,788 90,188,333 GRI 301-1 GHG Scope 1 (Tons CO2) 30,343,481 27,236,390 24,329,050 22,869,440 26,073,563 GRI 305-1 EM-CM-110a.1 Recycled Materials (Tons)(2) 3,759,406 6,048,122 5,445,245 7,497,227 5,733,927 GRI 301-2 RT-CP-410a.1 GHG Scope 2 (Tons CO2) 3,182,060 2,880,408 2,754,817 2,610,166 2,985,076 GRI 305-2 (%) 5.27 6.93 6.64 8.5 6.4 GRI 301-2 Location-Based (Tons CO2) 3,</t>
  </si>
  <si>
    <t>mpared to 2020 baseline. achieve net-zero GHG emissions production, reducing coal imports by 2050. and GHG emissions. 4. Develop products, services, and solutions • Advancement of the Saraburi Sandbox 25% reduction in Scope 3 GHG emissions from 24.98% that reduce GHG emissions throughout Project, with SCG, as a member of the Thai fossil fuels sold to external customers by 2031 the value chain. Cement Manufacturers Association (TCMA), compared to 2021 baseline. 5. A pply economic tools to promote and The Federation of Thai Industries, GHG emissions reduction. Saraburi chapter and the Saraburi Province, 13% reduction in energy consumption by 2025 5.8% 6. O rganize activities to foster energy joining the Transitioning Industrial</t>
  </si>
  <si>
    <t>p. 38</t>
  </si>
  <si>
    <t>ion Information of Emissions materials unavailable/ reclaimed incomplete products and GRI 3 : Material 3-3 Management of material topics SR 36-37, 74-75, 80-81 packaging Topics 2021 materials are GRI 305 : 305-1 Direct (Scope 1) GHG emissions SR 74-75, 97 Yes collected by Emissions 2016 305-2 Energy indirect (Scope 2) GHG emissions SR 74-75, 97 Yes business unit for efficient 305-3 Other indirect (Scope 3) GHG emissions SR 74-75, 97 Yes production and 305-4 GHG emissions intensity SR 97 quality improvement. 305-5 Reduction of GHG emissions SR 97 305-6 Emissions of ozone-depleting substances (ODS) a, b, c, d Information Collection Energy unavailable/ of data is not GRI 3 : Material 3-3 Management of material topics SR 33-37, 41-47</t>
  </si>
  <si>
    <t>vernment authorities such 8,430 6,685 6,167 5,860 5,196 GRI 201-1 as income tax, local maintenance tax, property tax and other specific taxes (Million Baht) Taxes to Government Tax Benefits Tax privilege and others from investment promotion, and research and development (Million Baht) 1,592 701 826 919 1,611 GRI 201-4 5,195 1,611 Million Baht Million Baht Philipines Others Vietnam Philipines Non-compliance case through SCG Whistleblowing System (Cases) 30 51 55 47 52 GRI 205-3 Indonesia 2% 2% 5% 3% 3% Customer Satisfaction - SCG Contact Center (%) 100 100 100 100 100 Cambodia Average Customer Satisfaction - All business unit (%) 94 94 94 93 93 5% Contributions to organizations (Million Baht)(1) 11.3 30.9 27.8 36.4 37.7 Vietnam Con</t>
  </si>
  <si>
    <t>p. 48</t>
  </si>
  <si>
    <t>Shareholders ISSB IN ACTION The Siam Cement Public Company Limited FEATURE STORY APPENDIX Board of Directors 01 01 The Governance and Nomination Committee The CSR Committee for Sustainable Development The Remuneration Committee Governance The Audit Committee The Environmental Sustainability Development Committee Internal Audit Office President &amp; CEO SCG Sustainable Development Committee Corporate governance serves as the cornerstone and primary driver for SCG and is integrated into its business SCG Top Executives strategy to ensure sustainable value creation alongside social and environmental responsibi</t>
  </si>
  <si>
    <t>ISSB IN ACTION FEATURE STORY APPENDIX Strategy Implementation Measurement 2021 2022 2023 2024 2025 Target • Select and assess suppliers with • Evaluate vendors in terms of quality, • Evaluate suppliers under Approved 100% 100% 100% 100% 100% 100% suppliers under Approved Vendor the capability for sustainable cost and delivery (QCD Supplier Vendor List (AVL) with vendor evaluation List (AVL) receive vendor evaluation business Evaluation) (QCD Supplier Evaluation). (QCD Supplier Evaluation). • Conduct risk assessment and • Conduct a supplier assessment program • Assess and classify critical suppliers 100% 10</t>
  </si>
  <si>
    <t>p. 62</t>
  </si>
  <si>
    <t>d rate of Process Safety Events – Tier 1 o Work-related ill health: The number of fatality occupational illnesses &amp; diseases, the number of cases of auditing and training; environmental, social and sustainability report assurance. SGS affirm our independence from SCG, being recordable occupational illnesses &amp; diseases, occupational illnesses &amp; diseases frequency rate, the main free from bias and conflicts of interest with the organisation, its subsidiaries and stakeholders. types of work-related occupational illnesses &amp; diseases, and the number of hours worked The assurance team was assembled based on their knowledge, experience and qualifications for this assignment, and o Gender pay gap: Ratio of basic salary and remuneration of</t>
  </si>
  <si>
    <t>ct emission (Scope 3. such as energy conservation and efficiency enhancement team, Furthermore, the Company is also in the process of setting corporate solar energy installation team, green packaging team, and perennial net zero emission for validation according to Science Based Targets tree plantation team for communities. These teams act in various initiative (SBTi). roles assigned to prepare for climate change resilience under the “7 Go Green” strategy. They also establish a working framework Furthermore, the Company is committed to limiting the average and management approach in conducting business responsibly with global temperature to no more than 1.5 degrees Celsius, which is in considerations to climate change throughout t</t>
  </si>
  <si>
    <t>CPALL sus report 2022.pdf</t>
  </si>
  <si>
    <t>CP ALL PUBLIC COMPANY LIMITED Structure and Operation of the Company 039 AS AT DECEMBER 31, 2022 CP ALL PUBLIC COMPANY LIMITED 99.99% 100.00% Suksapiwat Co., Ltd. Panyapiwat Institute of Management 100.00% Panyapiwat Institute of Management 99.99% Demonstration School CPRAM Co., Ltd. 100.00% Panyapiwat Technological College 99.99% Counter Service Co., Ltd. 100.00% Lotus Distribution Investment Limited 99.99% 99.99% All Corporation Limited. CP Foodlab Co., Ltd. 100.00% Successor Investments Limited 64.99% 99.99% ALL GUARDIAN CO., LTD. 24 Shopping Co., Ltd. 45.45% ALL SPEEDY CO., LTD. 99.99% CP Retailink Co., Ltd. 100.00% ALL CONVENIENCE SERVICES</t>
  </si>
  <si>
    <t>CPALL one report 2022.pdf</t>
  </si>
  <si>
    <t>suggestions. The performance of the Sustainability and Corporate Governance Committee shall be reported to the Board of Directors every six months and significant matters can be summarized as follows: 1. Considered and Approved the Appointment of the (New) Corporate Governance Sub-Committee for the Year 2022 The Sustainability and Corporate Governance Committee has approved the appointment of the (new) Corporate Governance Sub-Committee for the year 2022 to replace the retired members and to ensure the continuity of the Corporate Governance Sub-Committee. 2. Approval of the Implementation Plan of the Corporate Governance and the Anti-Corruption for Year 2022 The Sustainability and Corporate Governance Committee approved the imple</t>
  </si>
  <si>
    <t>p. 361</t>
  </si>
  <si>
    <t>421.13 1,572,464.61 1,454,368.73 1,501,380.23 GHG reduction from alternative tCO2e 2,491.45 11,851.72 31,149.16 53,982.19 energy consumption 305-4 (a) 2016 Direct and indirect tCO2e per million Baht 2.51 3.31 3.03 2.27 (Scope 1 andScope 2) per revenue unit 305-3 (a) 2016 Other indirect (Scope 3) tCO2e 208,627.65 243,098.87 13,131,498.28 13,191,694.60 GHG emissions • Purchase goods and service tCO2e N/A N/A 12,824,060.79 12,525,820.40 • capital goods tCO2e N/A N/A N/A 47,305.39 • Upstream transportation tCO2e 90,128.25 141,122.76 197,321.23 268,798.35 and distribution • Waste generated in operations tCO2e 192,510.20 90,956.37 99,866.65 90,303.47 • Business travel (by planes) tCO2e 2,588.75 793.62 141.14 2,077.74 • employee travel t</t>
  </si>
  <si>
    <t>p. 233</t>
  </si>
  <si>
    <t>ernative tCO2e 2,491.45 11,851.72 31,149.16 53,982.19 energy consumption 305-4 (a) 2016 Direct and indirect tCO2e per million Baht 2.51 3.31 3.03 2.27 (Scope 1 andScope 2) per revenue unit 305-3 (a) 2016 Other indirect (Scope 3) tCO2e 208,627.65 243,098.87 13,131,498.28 13,191,694.60 GHG emissions • Purchase goods and service tCO2e N/A N/A 12,824,060.79 12,525,820.40 • capital goods tCO2e N/A N/A N/A 47,305.39 • Upstream transportation tCO2e 90,128.25 141,122.76 197,321.23 268,798.35 and distribution • Waste generated in operations tCO2e 192,510.20 90,956.37 99,866.65 90,303.47 • Business travel (by planes) tCO2e 2,588.75 793.62 141.14 2,077.74 • employee travel tCO2e N/A N/A N/A 153,865.70 • Downstream transportation and tCO2e N/</t>
  </si>
  <si>
    <t>,558.52 2021 217,303.45 2022 384,212.73 2022 259,711.62 2019 3,724.00 Methane from 2020 819.66 the wastewater treatment system 2021 1,230.88 2022 556.81 Total GHG Emissions (tCO2e) by per energy purchases GHG emissions (Scope 2) Location-based : Market-Based : tCO2e tCO2e 2019 1,218,051.27 2019 1,126,421.13 2020 1,578,842.68 2020 1,572,464.61 2021 1,476,174.03 2021 1,454,368.73 2022 1,555,362.43 2022 1,501,380.23 Data Coverage (as % of Denominator) Data Coverage (as % of Denominator) : percentage of revenue percentage of revenue 2019 96.08 2019 96.08 2020 95.46 2020 95.46 2021 95.52 2021 95.52 2022 100.00 2022 100.00</t>
  </si>
  <si>
    <t>Sustainability Report 2022 265 ’s a++-* # ’s ..0- )  )" " ( )/. -  --$ *0/$) *- ) 2$/#рппп1тѵ# !*''*2$)"/ .&amp;./#*0"#2 - 0) -/ &amp; ) .+ -/*!/#  1$ ) " /# -$)"+-* ..!*-/#$. ..0- )  )" " ( )/ѷ • .. ..$)" ’s approach to stakeholder engagement to confirm that issues raised by stakeholders were captured *-- /'4ѵ  $ /#$. 4$)/ -1$ 2$)" ’s ( ) " ( )/2#* )" "  $- /'42$/#./ &amp; #*' -"-*0+. .2 '' . - 1$ 2$)" * 0( )/. )  ..* $ / - *- .ѵ •  1$ 2$)"   ’s process for identifying and determining material issues to confirm that the right</t>
  </si>
  <si>
    <t>p. 267</t>
  </si>
  <si>
    <t>s responsible for sending the performance evaluation form, which the content is revised in accordance with the Thai Institute of Directors form, to every director of the Company in order to assess the performance of the Board of Directors and the sub-Committee that he/she is a member. After receiving all of the evaluation forms back, the Company Secretary Office summaries the results and presents the results of the performance evaluation to each sub-Committee to consider the results of their performance during the past year. The Company Secretary Office also reports the results of the performance evaluation of the sub-Committees and the results of the Board performance to the Board of Directors for consideration. Self-Assessment o</t>
  </si>
  <si>
    <t>p. 174</t>
  </si>
  <si>
    <t>e high-level executives for further job-handover. 7. After the Board of Directors’ Meetings, the minutes of meeting were prepared, approved by the Board and filed at the Company Secretary Office for future reference and verification by directors and related persons. In addition, the Company Secretary coordinated to all departments to strictly perform its duties in line with the resolutions of the Board of Directors. 8. In some cases, the Company organized for outside consultants or experts to provide advice or additional information to the Board of Directors, at the Company’s expense. 8.1.1. Recruitment, Development, Assessment of the Performance of the Board of Directors 1. Recruitment The Company has appointed the Remuneration a</t>
  </si>
  <si>
    <t>p. 167</t>
  </si>
  <si>
    <t>tainable within the conference. development goals between the private, public, and local sectors. The mission to promote greenhouse gas emissions The Company and executives tasked with corporate reduction, with aims for net zero emissions in accordance sustainability policy management regularly monitors mission with the Paris Agreement, upholds the following goals: progress with the Carbon Neutral Thailand Network. The joint • Promote and support various organizations in terms of effort facilitates opinions expression, national agenda for feasibility assessment guidelines in implementing and climate change management developments, and modification announcing carbon neutrality goals at the corporate of organizational policies to ma</t>
  </si>
  <si>
    <t>CP-ALL-SR-2023.pdf</t>
  </si>
  <si>
    <t>p. 47</t>
  </si>
  <si>
    <t>The data reported is based on the Company's healthy food and beverage product criteria. Co-developed products for good health and well-being (Private Brands Only) Food Non-Food Product that Product that Product that are reduced are reduced are reduced Product that products with more in saturated in sodium in sugar reduced artiﬁcial natural vegetable fat, trans fats ingredients based ingredients 1.48% O.87% O.O1% 1,45O 849 O.25% O.78% 8.23 million Baht million Baht 17.19 million Baht 54.73 million Baht million Baht Product that contain Product that products with EU-Eco Label or third party increased nutritious reformulated (Used equivalent ingredients alternative ingredient) 1.91% O.55% O.49% 133.43 million Baht 537 million Baht 47</t>
  </si>
  <si>
    <t>p. 115</t>
  </si>
  <si>
    <t>suggestions. The performance of the Sustainability and Corporate Governance Committee shall be reported to the Board of Directors every six months and significant matters can be summarized as follows: 1. Considered and Approved the Appointment of the (New) Corporate Governance Sub-Committee for the Year 2023 The Sustainability and Corporate Governance Committee has approved the appointment of the (new) Corporate Governance Sub-Committee for the year 2023 to replace the retired members and to ensure the continuity of the Corporate Governance Sub-Committee. 2. Considered and Approved the Appointment of (New) Sub-committee on Sustainable Development for the Year 2023 The Sustainability and Corporate Governance Committee has approved</t>
  </si>
  <si>
    <t>CPALL one report 2023.pdf</t>
  </si>
  <si>
    <t>p. 346</t>
  </si>
  <si>
    <t>8.39 • Electricity purchased tCO2e 1,572,464.61 1,454,368.73 1,5O1,38O.23 1,522,328.39 GHG reduction from alternative tCO2e 12,269.38 22,172.73 58,326.81 147,788.21 energy consumption 3O5-4 (a) 2O16 Direct and indirect (Scope 1 and tCO2e 3.31 3.O3 2.27 2.19 Scope 2) per revenue unit 3O5-3 (a) 2O16 Other indirect (Scope 3) GHG tCO2e 243,O98.87 13,131,498.28 13,191,694.6O 15,186,2O3.54 emissions • Purchase goods and service tCO2e N/A 12,824,O6O.79 12,525,82O.4O 13,964,445.28 • capital goods tCO2e N/A N/A 47,3O5.39 36,591.8O • Fuel-and energy related activi- tCO2e N/A N/A N/A 345,694.47 ties • Upstream transportation and tCO2e 141,122.76 197,321.23 268,798.35 2O5,168.47 distribution • Waste Generated in tCO2e 9O,956.37 99,866.65 9O,3</t>
  </si>
  <si>
    <t>p. 255</t>
  </si>
  <si>
    <t>ction from alternative tCO2e 12,269.38 22,172.73 58,326.81 147,788.21 energy consumption 3O5-4 (a) 2O16 Direct and indirect (Scope 1 and tCO2e 3.31 3.O3 2.27 2.19 Scope 2) per revenue unit 3O5-3 (a) 2O16 Other indirect (Scope 3) GHG tCO2e 243,O98.87 13,131,498.28 13,191,694.6O 15,186,2O3.54 emissions • Purchase goods and service tCO2e N/A 12,824,O6O.79 12,525,82O.4O 13,964,445.28 • capital goods tCO2e N/A N/A 47,3O5.39 36,591.8O • Fuel-and energy related activi- tCO2e N/A N/A N/A 345,694.47 ties • Upstream transportation and tCO2e 141,122.76 197,321.23 268,798.35 2O5,168.47 distribution • Waste Generated in tCO2e 9O,956.37 99,866.65 9O,3O3.47 99,349.12 Operations • Business travel (by planes) tCO2e 793.62 141.36 2,O77.74 1,355.88</t>
  </si>
  <si>
    <t>ewable energy Greenhouse gas management is divided into 3 consumption, reducing single-use packaging usage, usage scopes as follows: Direct greenhouse gas emissions of environmentally packaging materials throughout the (Scope 1), indirect greenhouse gas emissions from energy value chain, etc. The Company supports all stakeholders consumption (Scope 2), and other indirect greenhouse and all involved sectors in measures to achieve climate gas emissions (Scope 3). In addition, the Company change goals. has considered establishing goals for reducing net greenhouse gas emissions to zero through validation processes according to the Science Based Targets initiative (SBTi) approach. Further Climate Change Management Framework 1 4 Commitm</t>
  </si>
  <si>
    <t>times due to the Company’s efficient inventory management, together with normalize economic activities. An allowance for losses is made for all deteriorated, damaged, obsolete and slow-moving inventories. Regarding the investment plan, the Company has continued to invest in order to explore new business opportunity and improve support existing operation of the Company such as store expansion, new distribution center, new ready-to-eat food manufacturing facility, new distribution channel. The investments were directly made from the Company and its subsidiaries. In 2023, investments in subsidiaries were Baht 282,236 million, slightly increased by Baht 315 million or 0.1 percent YoY. This was due to an increase of investment in Albu</t>
  </si>
  <si>
    <t>p. 87</t>
  </si>
  <si>
    <t>CP ALL PUBLIC COMPANY LIMITED Corporate Governance Report 167 In 2023, the Company organized a training session regarding the Global Trends on Sustainability and its Impact on CP ALL Public Co., Ltd. for the Board of Directors. The session was conducted by Mr. Prasit Vaiyavatjamai, Partner: Corporate Sustainability &amp; Climate Change Service, Thailand and Director of ERM-Siam Limited, an expert in sustainability. Key topics included preparing for climate change, caring for and restoring nature and ecosystems, responsible consumption and production, and integrating ESG issues into disclosure. 3. Assessment of the Performance of the Board of Directors The Company has established an evaluation process of the performance of</t>
  </si>
  <si>
    <t>p. 169</t>
  </si>
  <si>
    <t>LRQA Independent Assurance Statement Relating to CP ALL Public Company Limited’s Sustainability Report for the calendar year 2023 This Assurance Statement has been prepared for CP ALL Public Company Limited (CP ALL) in accordance with our contract but is intended for the readers of this Report. Terms of engagement LRQA (Thailand) Ltd. was commissioned by CP ALL Public Company Limited (CP ALL) to provide independent assurance on its Sustainability Report 2023 “the report” against the assurance criteria below to a moderate level of a</t>
  </si>
  <si>
    <t>p. 292</t>
  </si>
  <si>
    <t>CP ALL states carbon neutrality by 2030 and Net Zero GHG Emissions by 2050.</t>
  </si>
  <si>
    <t>CP ALL Sustainability Report 2024</t>
  </si>
  <si>
    <t>Climate section</t>
  </si>
  <si>
    <t>https://www.cpall.co.th/wp-content/uploads/2025/03/CP-ALL-SR-2024.pdf</t>
  </si>
  <si>
    <t>CP ALL discloses a 2030 Scope 3 reduction target of 25% from a 2023 base year and other SBTi-aligned climate targets.</t>
  </si>
  <si>
    <t>CP ALL Climate Change Management</t>
  </si>
  <si>
    <t>https://www.cpall.co.th/en/sustain/environmental-dimension/climate-change-management/</t>
  </si>
  <si>
    <t>Quantitative target, year and baseline. | Imported from the earlier 2024 evidence workbook; researcher personal verification is still required before treating this as final dissertation coding.</t>
  </si>
  <si>
    <t>2024 pilot evidence pass: Verified from corporate CDP; dashboard snapshot recommended</t>
  </si>
  <si>
    <t>CP ALL's 2024 climate disclosures indicate target approval under SBTi guidelines.</t>
  </si>
  <si>
    <t>CP ALL CDP Corporate Questionnaire 2024</t>
  </si>
  <si>
    <t>Target approval section</t>
  </si>
  <si>
    <t>https://www.cpall.co.th/wp-content/uploads/2024/07/cdp-report.pdf</t>
  </si>
  <si>
    <t>Evidence supports validated/approved science-based target status; final dashboard snapshot should be retained. | Imported from the earlier 2024 evidence workbook; researcher personal verification is still required before treating this as final dissertation coding.</t>
  </si>
  <si>
    <t>CP ALL's 2024 sustainability reporting provides quantitative Scope 1 and Scope 2 emissions.</t>
  </si>
  <si>
    <t>GHG performance</t>
  </si>
  <si>
    <t>Quantitative Scope 1 and 2 disclosure. | Imported from the earlier 2024 evidence workbook; researcher personal verification is still required before treating this as final dissertation coding.</t>
  </si>
  <si>
    <t>CP ALL reports quantitative Scope 3 emissions and has an explicit Scope 3 reduction target.</t>
  </si>
  <si>
    <t>CP ALL Sustainability Report / Climate Change Management</t>
  </si>
  <si>
    <t>GHG section</t>
  </si>
  <si>
    <t>Quantitative Scope 3 evidence. | Imported from the earlier 2024 evidence workbook; researcher personal verification is still required before treating this as final dissertation coding.</t>
  </si>
  <si>
    <t>CP ALL presents emissions and climate-performance data across multiple years and uses explicit baselines.</t>
  </si>
  <si>
    <t>Multi-year/baseline comparability. | Imported from the earlier 2024 evidence workbook; researcher personal verification is still required before treating this as final dissertation coding.</t>
  </si>
  <si>
    <t>CP ALL implements renewable energy, energy-efficiency and climate-roadmap initiatives across operations, linked to quantified 2030 pathways.</t>
  </si>
  <si>
    <t>CP ALL Energy Management</t>
  </si>
  <si>
    <t>Energy strategy</t>
  </si>
  <si>
    <t>https://www.cpall.co.th/en/sustain/environmental-dimension/energy-conservation-management/</t>
  </si>
  <si>
    <t>Specific operational resources and transition actions. | Imported from the earlier 2024 evidence workbook; researcher personal verification is still required before treating this as final dissertation coding.</t>
  </si>
  <si>
    <t>CP ALL has a board-level Sustainability and Corporate Governance Committee.</t>
  </si>
  <si>
    <t>CP ALL Board Committee</t>
  </si>
  <si>
    <t>Committee page</t>
  </si>
  <si>
    <t>https://www.cpall.co.th/about-us/corporate-governance-committee</t>
  </si>
  <si>
    <t>2024 pilot evidence pass: Verified; capture exact 2024 metric/page for final appendix</t>
  </si>
  <si>
    <t>CP ALL reports annual GHG performance and progress against its 2030 climate pathway.</t>
  </si>
  <si>
    <t>Progress is quantitatively monitored against targets. | Imported from the earlier 2024 evidence workbook; researcher personal verification is still required before treating this as final dissertation coding.</t>
  </si>
  <si>
    <t>2024 pilot evidence pass: Verified source; exact assurance page to capture</t>
  </si>
  <si>
    <t>CP ALL Sustainability Report 2024 contains independent assurance/verification of sustainability information.</t>
  </si>
  <si>
    <t>Independent assurance reported. | Imported from the earlier 2024 evidence workbook; researcher personal verification is still required before treating this as final dissertation coding.</t>
  </si>
  <si>
    <t>f long-term Key Performance Indicators (KPIs) for Energy Reduction and Net GHG Reduction. This is aligned with corporate Executive Officers goals and sustainability targets, striving toward Carbon Neutrality by 2030 and Net Zero Emissions by 2050. Executives at the CEO-2 level in Sustainability Management, Store Development, Purchasing, and Distribution Center units have Energy Reduction and Net GHG Reduction defined as Core KPIs in their annual performance Business Unit appraisals. These KPIs carry an average weight of 10-15%, aligning with corporate goals and sustainability targets toward Carbon Neutrality by 2030 and Net Zero Emissions by 2050. Managers Management System for Public Policy Engagement, Regulatory Bodies, and Trad</t>
  </si>
  <si>
    <t>CP-ALL-SR-2025.pdf</t>
  </si>
  <si>
    <t>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CP ALL Public Company Limited Sustainability Report 2025 37</t>
  </si>
  <si>
    <t>p. 40</t>
  </si>
  <si>
    <t>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t>
  </si>
  <si>
    <t>p. 297</t>
  </si>
  <si>
    <t>08 1,654,823.58 1,772,186.86 1,713,193.54 Purchased Energy GHG reduction from tCO2e 55,548.77 106,575.14 117,429.70 146,392.09 alternative energy consumption 305-4 (a) 2016 Direct and indirect tCO2e 2.32 2.55 2.43 2.22 (Scope 1 and Scope 2) per revenue unit 305-3 (a) 2016 Other indirect (Scope 3) tCO2e 13,191,694.60 15,186,203.55 17,031,697.10 19,722,026.79 GHG emissions • Purchase goods and tCO2e 12,525,820.40 13,964,445.28 14,757,418.81 16,834,579.12 services • capital goods tCO2e 47,305.39 36,591.80 46,549.92 123,113.54 • Fuel-and energy related tCO2e N/A 345,694.47 604,982.16 599,501.49 activities • Upstream transportation tCO2e 268,798.35 205,168.47 553,599.02 322,863.35 and distribution • Waste Generated in tCO2e 90,303.47 9</t>
  </si>
  <si>
    <t>p. 330</t>
  </si>
  <si>
    <t>ion from tCO2e 55,548.77 106,575.14 117,429.70 146,392.09 alternative energy consumption 305-4 (a) 2016 Direct and indirect tCO2e 2.32 2.55 2.43 2.22 (Scope 1 and Scope 2) per revenue unit 305-3 (a) 2016 Other indirect (Scope 3) tCO2e 13,191,694.60 15,186,203.55 17,031,697.10 19,722,026.79 GHG emissions • Purchase goods and tCO2e 12,525,820.40 13,964,445.28 14,757,418.81 16,834,579.12 services • capital goods tCO2e 47,305.39 36,591.80 46,549.92 123,113.54 • Fuel-and energy related tCO2e N/A 345,694.47 604,982.16 599,501.49 activities • Upstream transportation tCO2e 268,798.35 205,168.47 553,599.02 322,863.35 and distribution • Waste Generated in tCO2e 90,303.47 99,349.12 105,413.69 80,741.99 Operations • Business travel (by planes</t>
  </si>
  <si>
    <t>Performance Summary 2025 Net Greenhouse Gas Emissions (GHG) by Scope of Operation Unit: tCO2e) CP ALL and Subsidiaries Only CP ALL Direct GHG emissions (Scope 1) Direct GHG emissions (Scope 1) 805,279.32 740,931.65 701,143.45 618,774.36 583,482.85 537,135.38 448,979.21 266,685.13 Goal 2025 492,642.03 Goal 2025 324,074.67 2022 2023 2024 2025 2022 2023 2024 2025 Indirect GHG emissions from energy Consumption Indirect GHG emissions from energy Consumption (Scope 2) (Scope 2) 1,012,843.25 937,997.12 899,234.99 951,720.31 1,528,592.30 1,548,248.45 1,654,757.17 1,566,801.45 Goal 2025 Goal 2025 1,259,362.77 2,139,200.59 2022 2023 2024 2025 2022 2023 2024 2025 Indirect GHG</t>
  </si>
  <si>
    <t>c) 2016 externally MWh 3,557,542.80 3,743,549.42 4,027,697.42 4,118,253.70 • National electricity grid GJ 12,357,770.77 12,608,745.11 13,538,922.26 13,558,858.73 MWh 3,432,714.10 3,502,429.20 3,760,811.74 3,766,349.65 • Solar cell GJ 449,383.31 868,032.80 960,788.44 1,266,854.60 MWh 124,828.70 241,120.22 266,885.68 351,904.06 GJ / million Baht 16.18 16.06 15.84 15.68 Energy intensity 302-3 (a) 2016 MWh / per revenue unit 4.50 4.46 4.40 4.36 million Baht 303-3 (a) 2018 Total water withdrawal Million m3 20.42 22.68 24.57 25.58 • Groundwater Million m3 2.83 2.74 2.95 2.94 • Rainwater Million m 3 0.00 0.00 0.01 0.01 • Third-Party Water Million m3 17.59 19.94 21.61 22.63 Surface municipal water Million m 3 17.43 19.74 21.42 22.43 Groun</t>
  </si>
  <si>
    <t>p. 328</t>
  </si>
  <si>
    <t>Sub-committee The Company has set up independent sub-committees operating and serving under the Board of Directors, whose crucial roles comprises: Sustainability and Corporate Remuneration and Audit Committee Governance Committee Nomination Committee • Conduct financial audit. • Develop policies on governance, • Consider criteria determining • Review performance to ensure anti-corruption, sustainability, the Board’s and high-level compliance, aligning policies, as well as relevant practices, Management’s remuneration regulations, laws, practices business ethics and code of and compensation forms, and requirem</t>
  </si>
  <si>
    <t>p. 283</t>
  </si>
  <si>
    <t>imate Change long-term greenhouse gas (GHG) of carbon dioxide equivalent assessment. emissions reduction targets from (tCO2e) through carbon the Science Based Targets initiative reduction strategic projects. (SBTi). Key Progress in 2025 Driven the Carbon Neutral 2030 Engaged with suppliers Developed “openshow case” strategy into implementation and customers to mitigate Version 4, which achieved by integrating action plans with environmental impacts, such as an 11% increase in efficiency relevant business units to tangibly developing low-carbon products compared to Version 3. elevate climate management. and providing GHG accounting knowledge to suppliers. Assessed climate-related risks in accordance with Driven and monitored clean</t>
  </si>
  <si>
    <t>LRQA Independent Assurance Statement Relating to CP ALL Public Company Limited’s Sustainability Report for the calendar year 2025 This Assurance Statement has been prepared for CP ALL Public Company Limited (CP ALL) in accordance with our contract but is intended for the readers of this Report. Terms of engagement LRQA (Thailand) Ltd. was commissioned by CP ALL Public Company Limited (CP ALL) to provide independent assurance on its Sustainability Report 2025 “the report” against the assurance criteria below to a moderate level of a</t>
  </si>
  <si>
    <t>p. 356</t>
  </si>
  <si>
    <t>l Sustainability Annual Report 2022 (56-1 One Report) Risks and Opportunities through Stakeholder Engagement Issues • Risk/Opportunity and long-term plan for • Setting clear policy and targets for reducing 9. Becoming net zero becoming net zero greenhouse gas emissions 10. Resource efficiency • Effective management of resources • Implementation of internationally-recognized 11. Sustainable such as water and energy to mitigate the systems and innovations for environmental community impacts of climate change management development • Climate-related risks e.g. global warming, • Leveraging alternative energy and eco- droughts or floods friendly energy-saving technologies • Circular Economy • Using eco-friendly materials and equ</t>
  </si>
  <si>
    <t>CPN sus report 2022.pdf</t>
  </si>
  <si>
    <t>to landfill reduced by 28% Remarks: We are currently working with an external consultant to realign our emissions reduction targets based on the Science-Based Target Setting approach and have established 2019 as a new baseline year for reporting.</t>
  </si>
  <si>
    <t>ssed and re-classified our material issues to better align with the corporate strategy and insights from key stakeholder groups. Materiality Assessment Process Mega Trend Analysis Identify and Prioritize Material Topics Validation and Reporting Conducted desk research to analyze: • Reviewed mega trends together Based on this list of eleven priority • National and global mega trends with enterprise risks as well as issues for sustainability, Sustainable • Key and emerging enterprise risks inputs from key stakeholder groups. Development and Risk Management •  C o r p o r a t e s u s t a i n a b i l i t y • Re-assessed material topics at our worked together to develop our assessments from institutions annual management workshop co</t>
  </si>
  <si>
    <t>No official SBTi validation applicable to the observation year was evidenced; alignment, commitment, submission or later validation does not qualify. Manual timing/boundary override applied from prior evidence review. | AI-assisted evidence retrieval; not yet personally verified by the researcher.</t>
  </si>
  <si>
    <t>3. Sustainable Development (3.2 Sustainability Report for Stakeholder, Environmental and Social Impact Management) 149 In 2022, our Scope 1, 2 and 3 emissions accounted for Our 2022 data shows a 29% increase in absolute Scope 1 Annual Report 2022 (56-1 One Report) 0.4%, 39.4% and 60.2% of our carbon footprint, respectively. and 2 emissions from 2021. The key factor contributing to this Recognizing that the largest portion of our carbon footprint rise is the higher number of in-store customers and visitors comes from electricity, we continually pursue and accelerate post-COVID-19. carbon-reduction measures across our portfolios, with a clear foc</t>
  </si>
  <si>
    <t>Achieved 22.5% reduction in Scope 1 and 2 emissions compared to 2019 levels Scope 2 Electrical energy efficiency • Reduced Scope 1 and 2 and renewable energy emissions intensity by 36% solutions compared to 2019 levels Scope 3 Divert waste from landfill • R e d u c e d S c o p e 3 • In 2022, Scope 3 emissions and initiate talks with large emissions from waste from waste generated in enterprises inviting them to generated in our our operations amounted to join the Green Partnership operations by reducing 114,576 tCO2-e project, which aims to reduce the amount of waste sent • Achieved a 31.2 % reduction in tenant electricity consumption to landfill by 22%. Scope 3 emissions compared and ensure proper waste to 2019 levels segrega</t>
  </si>
  <si>
    <t>t) 144 Leveraging renewables is a key pillar of Central Pattana’s approach to energy efficiency and emissions reductions, and in the Annual Report 2022 (56-1 One Report) past several years, we have been accelerating our investment in the installation and use of onsite solar generation across our shopping centers. Not only will this help us become more energy-resilient while reducing our impact on climate change, but also contribute to lowered electricity costs amid the global energy crisis and rising electricity prices. The Company targets to install rooftop solar panels at all our shopping centers and parking facilities by 2024. To maximize the solar potential of each property and choose the right system and configuration that be</t>
  </si>
  <si>
    <t>rses: department and higher), aims to strengthen people 1. Employ Branding management skills of supervisors to lead their 2. Recruitment, Selection &amp; Interview Skills teams to success. The program covers 5 areas of 3. Onboarding Program people management including: 4. Talent Management &amp; Succession Plan 1. Attract, Select &amp; On-boarding 5. Career Development 2. Manage Performance 6. Employee Engagement 3. Develop &amp; Grow 7. Off-Boarding 4. Engage &amp; Retain 5. Off-Boarding In 2022, 77% of target employees (2,230 out of 2,891 employees) attended the training. Additionally, five trainings were conducted and livestreamed via Workplace to give employees an opportunity to hear from senior executives and learn from their experiences in peop</t>
  </si>
  <si>
    <t>p. 39</t>
  </si>
  <si>
    <t>nual Report 2022 (56-1 One Report) Target 12 Responsible consumption and production Indicator 12.5.1 Recycling rate, tons of material recycled Sustainability Strategy Long-Term Target for 2025 Short-Term Target for 2022 Progress in 2022 Purpose-led organization: Reduce the amount of waste sent 22% reduction in the 28% of the total Resource and to landfill in half amount of waste sent to waste diverted from environmental landfill landfill management We report progress made on Indicator 12.3.1 (b) food waste index Target 13 Climate action Indicator 13.2.2 Total greenhouse gas emissions per year Sustainability Strategy Long-Term Target for 2030 Short-Term Target for 2022 Progress in 2022 Purpose-led Reduce Scope 1 and 2 GHG 8% reduct</t>
  </si>
  <si>
    <t>p. 14</t>
  </si>
  <si>
    <t>LRQA Independent Assurance Statement Relating to Central Pattana Public Company Limited’s Annual Report (Sustainability part) for the calendar year 2022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2022 “the report” against t</t>
  </si>
  <si>
    <t>CPN LRQA 2022.pdf</t>
  </si>
  <si>
    <t>may lead to business disruptions from physical impacts such in accordance with TCFD recommendations in policy review, as floods, droughts or material shortages, as well as rising we have set a science-based target to be net zero by 2050. operating costs and lower profitability due to the introduction We have also developed the ‘Net Zero Pathway,’ outlining of new laws or measures that would cap greenhouse gas our near-term targets for 2030 and long-term targets for 2050 (GHG) emissions limits, or higher prices of goods, materials under a framework that organizes our emissions reduction and services procured from green suppliers. These efforts activities into three areas: decarbonized carbon emissions, will also enhance our reputat</t>
  </si>
  <si>
    <t>CPN sus report 2023.pdf</t>
  </si>
  <si>
    <t>alth Better Planet Becoming a Net Zero organization by 2050 Material Matrix Indicator (Unit) 2023 Target 2030 Target 2023 Performance 46.2% 12% Reduce Scope 1, 2 and 3 GHG emissions Climate Adaptation 21.6% (compared to baseline year) 2 (%) 1 Reduce SBTi-validated greenhouse gas emissions Reduce electricity consumption under 20% Resource and 12% Central Pattana operational control Environmental Management (compared to baseline year) 2 (%) 1 3.9% 20% Portion share of renewable energy 4.5% in total energy consumption (%) 2.4% 20% Reduce water 12% (compared to baseline year) 2 7.1% 50% 35% Reduction in waste sent to landfill (%) 1 38% Remark: 1 Corporate OKR 2 2019 baseline year</t>
  </si>
  <si>
    <t>’s Rating of Energy and friendly products or services, or implementation of measures Environmental Sustainability (TREES) and other global healthy or programs to reduce greenhouse gas emissions. building standards. 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t>
  </si>
  <si>
    <t>ur shopping centers including being released into the atmosphere per year. The absolute offices and hotels. emissions was decrease 59,990 tCO2e compared to 2019 level or 18% lower. Setting Up EV Charging Stations 40 537 Scope 1 &amp; 2 shopping centers slots GHG Emissions Reduction GHG Emissions Reduction 59,990 Decrease initiatives saves tCO2e 18% 3,440 tCO e 2 To reduce Scope 3 emissions, we focused our efforts on To raise employee awareness about climate change and its minimizing waste sent to landfill, which delivered a reduction potential impacts on our operations, we conducted training of Scope 3 emissions of 42,913 tCO2e compared to 2019 on greenhouse gases and Carbon Footprint for Organization, based year, as detailed in the “</t>
  </si>
  <si>
    <t>d to 2019 level or 18% lower. Setting Up EV Charging Stations 40 537 Scope 1 &amp; 2 shopping centers slots GHG Emissions Reduction GHG Emissions Reduction 59,990 Decrease initiatives saves tCO2e 18% 3,440 tCO e 2 To reduce Scope 3 emissions, we focused our efforts on To raise employee awareness about climate change and its minimizing waste sent to landfill, which delivered a reduction potential impacts on our operations, we conducted training of Scope 3 emissions of 42,913 tCO2e compared to 2019 on greenhouse gases and Carbon Footprint for Organization, based year, as detailed in the “Waste Management” section. which attracted 178 employees. The aim was to help our employees learn how to identify major contributing factors In 2023, w</t>
  </si>
  <si>
    <t>3. Sustainable Development 3.2 Sustainable Management for Stakeholder, Social and Environment 161 Performance Absolute Scope 1, 2, and 3 Greenhouse Gas Emissions Greenhouse Gas Emissions Intensity (tCO2e) (kgCO2e/sq.m.) 540,707 232.2 429,071 411,401 379,289 185.1 326,670 299,209 165.3 272,149 261,908 154.8 252,605 127.3 198,338 89.1 71.7 66.5 62.3 51.5 10,116 9,326 4,647 4,779 2,481 2019 2020 2021 2022 2023 2019 2020 2021 2022 2023 Scope 1 GHG emissions (Direct) Scope 1 and 2 GHG emissions Scope 2 GHG emissions (Indirect) Scope 1, 2 and 3 GHG emissions Scope 3 GHG emissions (Other Indirect) Remarks 1. The reported figures above co</t>
  </si>
  <si>
    <t>63 12.1 Energy and Electricity Management 1) Energy Consumption center’s share of renewable energy to 20% of its overall The 2023 energy consumption reported includes usage consumption. This year, we expanded our onsite solar PV by Central Pattana and its affiliates, subsidiaries and program on residence clubhouses with an installation at joint ventures across shopping centers, office buildings, 6 projects of our residential portfolio, achieving a total community malls and hotels. Our energy supply comes installed capacity of 32.4 kWp. from two sources - non- renewable and renewable sources: The preparation of our Task Force on Climate-Related 1.1 Non- renewable Sources Financial Disclosures (TCFD) Report has led to closer • Grid</t>
  </si>
  <si>
    <t>anytime, anywhere, death through the Cremation Associations of the Central and on any device. The system currently supports various Employee Savings and Credit Cooperative and Central functions including recruitment, onboarding, coaching Group Employee Savings and Credit Cooperative; and employee feedback, time and attendance, welfare and salary advances during unforeseen financial management, job rotation opportunities, goal-setting, difficulties. Additionally, we are piloting a program to performance evaluation, individual development planning, support employees nearing retirement age in becoming succession planning, online training and offboarding. entrepreneurs at our Food Parks. • Safety: We apply ISO 45001 Occupational Hea</t>
  </si>
  <si>
    <t>, tenants and customers innovative, productive &amp; efficiency ecosystem delivering sustained, profitable growth DNA (Culture) Strong Governance Delivering sustained, profitable growth Material Matrix Indicator (Unit) 2023 Target 2030 Target 2023 Performance Excellent Corporate Governance CG Score (Rank) Excellent and Risk Management Excellent Product &amp; Service Quality Net Promotor Score (% NPS Score) Top of mind brand to customers 59% and Customer Experience 62% Creation Top of mind brand to suppliers and partners 3,000 Supply Chain Management Local procurement spend (Baht mn) 3,635 Sustainovation Submitted innovation project from 39 Innovation Management each shopping center (Projects) 161 IT Security, Cybersecurity and No instance</t>
  </si>
  <si>
    <t>LRQA Independent Assurance Statement Relating to Central Pattana Public Company Limited’s Annual Report (Sustainability part) for the calendar year 2023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2023 “the report” against t</t>
  </si>
  <si>
    <t>CPN LRQA 2023.pdf</t>
  </si>
  <si>
    <t>Central Pattana states Net Zero emissions by 2050.</t>
  </si>
  <si>
    <t>Central Pattana SDG Targets</t>
  </si>
  <si>
    <t>https://sustainability.centralpattana.co.th/en/sustainability-at-cpn/supporting-the-un-sustainable-development-goals-sdgs</t>
  </si>
  <si>
    <t>CPN targets a 46.2% reduction in Scope 1, 2 and 3 GHG emissions by 2030 versus 2019.</t>
  </si>
  <si>
    <t>Quantitative target with baseline. | Imported from the earlier 2024 evidence workbook; researcher personal verification is still required before treating this as final dissertation coding.</t>
  </si>
  <si>
    <t>DNV's 2024 opinion states SBTi submission/verification was still pending.</t>
  </si>
  <si>
    <t>DNV Second Party Opinion 2024</t>
  </si>
  <si>
    <t>p.13</t>
  </si>
  <si>
    <t>https://sustainability.centralpattana.co.th/en/document/viewer/92/second-party-opinion-on-sustainability-linked-finance-framework-2024</t>
  </si>
  <si>
    <t>Pending verification does not equal validation. | Imported from the earlier 2024 evidence workbook; researcher personal verification is still required before treating this as final dissertation coding.</t>
  </si>
  <si>
    <t>CPN reports 2024 quantitative Scope 1 and Scope 2 emissions.</t>
  </si>
  <si>
    <t>CPN Sustainability-Linked Finance Report 2024</t>
  </si>
  <si>
    <t>GHG appendix</t>
  </si>
  <si>
    <t>https://sustainability.centralpattana.co.th/th/document/viewer/303/sustainability-linked-finance-report-2024</t>
  </si>
  <si>
    <t>CPN reports quantitative Scope 3 emissions within its 2024 GHG reporting.</t>
  </si>
  <si>
    <t>CPN Annual Report 2024</t>
  </si>
  <si>
    <t>Sustainability section</t>
  </si>
  <si>
    <t>https://sustainability.centralpattana.co.th/storage/esg-reporting-library/reporting-and-disclosure/sustainability-reports/2024/cpn-one-report-2024-en.pdf</t>
  </si>
  <si>
    <t>CPN compares 2019, 2023 and 2024 emissions/intensity performance.</t>
  </si>
  <si>
    <t>CPN links transition implementation to sustainable finance, solar and energy-efficiency investments.</t>
  </si>
  <si>
    <t>CPN Sustainability-Linked Finance Framework 2024</t>
  </si>
  <si>
    <t>Framework</t>
  </si>
  <si>
    <t>https://sustainability.centralpattana.co.th/en/document/viewer/86/central-pattana-sustainability-link-finance-framework-2024-updated-edition</t>
  </si>
  <si>
    <t>Implementation linked to financing mechanisms. | Imported from the earlier 2024 evidence workbook; researcher personal verification is still required before treating this as final dissertation coding.</t>
  </si>
  <si>
    <t>CPN reports Board and board-committee oversight of climate-related risks and opportunities.</t>
  </si>
  <si>
    <t>CPN Environmental Management</t>
  </si>
  <si>
    <t>https://sustainability.centralpattana.co.th/en/environmental/environmental-management</t>
  </si>
  <si>
    <t>Board-level oversight. | Imported from the earlier 2024 evidence workbook; researcher personal verification is still required before treating this as final dissertation coding.</t>
  </si>
  <si>
    <t>CPN reports 2024 Scope 1-3 emissions and a 17.6% reduction from the 2019 baseline.</t>
  </si>
  <si>
    <t>LRQA's 2024 independent assurance covers selected GHG indicators including Scope 3 categories.</t>
  </si>
  <si>
    <t>LRQA Assurance Statement 2024</t>
  </si>
  <si>
    <t>https://sustainability.centralpattana.co.th/en/document/viewer/258/lrqa-assurance-statement-2024</t>
  </si>
  <si>
    <t>Independent GHG assurance. | Imported from the earlier 2024 evidence workbook; researcher personal verification is still required before treating this as final dissertation coding.</t>
  </si>
  <si>
    <t>lity dimension as follows: Environmental Dimension : Environment Enhance a Better Planet The Company aims to become an environmental role model through the implementation of a Climate Transition Plan, expanding upon its Net Zero Pathway to address both mitigation and adaptation comprehensively. Key Objective : Achieve Net Zero greenhouse gas emissions, with a 46.2% reduction by 2030 and a 90% reduction by 2050 (compared to the 2019 base year). Driving Strategies : Climate Transition Plan, comprising 3 core driving strategies: 1. Climate Mitigation: Journey to Net Zero - Focused on reducing Scope 1 &amp; 2 greenhouse gas emissions: Accelerate Energy Efficiency improvements in shopping centers and office buildings through Smart Building</t>
  </si>
  <si>
    <t>CPN ESG performance2025.pdf</t>
  </si>
  <si>
    <t>p. 204</t>
  </si>
  <si>
    <t>d building local wealth Material Sustainability Issues 1.1 Climate Change Adaptation Indicator: E1 Reduction in greenhouse gas emissions (Scope 1, 2, and 3) Short-term target (2025): 22.0% reduction compared to the 2019 base year Medium-term target (2034): 46.2% reduction compared to the 2024 base year Long-term target (2050): 90.0% reduction compared to the 2024 base year 1.2 Energy, Water, and Biodiversity Management Indicators: E2.1) Reduction in electricity consumption (controllable electricity use only) compared to 2024 (%) Short-term target (2025): Reduce by 5% Medium-term target (2034): Cumulative reduction of 35% E2.2) Proportion of alternative energy compared to total energy consumption (%) Short-term target (2025): Renew</t>
  </si>
  <si>
    <t>p. 209</t>
  </si>
  <si>
    <t>to manage such impacts. Step 3 - Prioritization &amp; Validation Identified topics are ranked and presented through a Materiality Matrix. Topics rated "Very High" significance are designated as core organizational KPIs and validated through: Internal Review by the Sustainability Disclosure Taskforce, with approval from the Risk Management Committee and the Corporate Governance and Sustainable Development Committee External Assurance by an independent external verifier, in accordance with AA1000AS V3 and ISSA 5000 Step 4 - Strategic Integration The Sustainability Disclosure Taskforce publishes approved results on the company's website and integrates them into the strategic planning and enterprise risk management processes. Topics rate</t>
  </si>
  <si>
    <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
  </si>
  <si>
    <t>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t>
  </si>
  <si>
    <t>2023 2024 2025 Total greenhouse gas emissions - Scope 1 4,779.00 3,715.00 6,658.00 (Metric tonnes of carbon dioxide equivalent) Total greenhouse gas emissions - Scope 2 271,899.00 199,362.00 179,050.00 (Metric tonnes of carbon dioxide equivalent) Total greenhouse gas emissions - Scope 3 530,169.00 651,470.00 603,338.00 (Metric tonnes of carbon dioxide equivalent) Greenhouse Gas Emissions Intensity 2023 2024 2025 Intensity ratio of total GHG emissions to total 0.016692 0.015869 0.014457 revenues (Metric tonnes of carbon dioxide equivalent / Thousand Baht of total</t>
  </si>
  <si>
    <t>nes on promoting savings through the provident fund for non-participating employees Policy and guidelines on promoting savings : Providing education or information on selecting through the provident fund for appropriate investment policies non-participating employees (PVD) Providing education or information on selecting appropriate investment policies Central Pattana recognizes that sound investment decision-making requires a solid foundation of knowledge and understanding. The Company therefore establishes clear policies and practices to provide provident fund members with comprehensive and ongoing investment education, enabling employees to select investment policies that align with their individual financial goals and risk tole</t>
  </si>
  <si>
    <t>- Yes Yes Yes ranking executive are from the same family Chairman is a member of the executive board - No No or taskforce The company appoints at least one Yes Yes Yes independent director to determine the agenda of the board of directors meeting Additional explanation : (*) Composition of the Board of Directors is calculated from the Board of Directors data in the year 2022 onwards (**) If a remark is specified, the remark from the most recent year will be displayed The measures for balancing the power between the board of directors and the Management The measures for balancing the power between the : Have board of directors and the Management Methods of balancing power between the board of : Appointing an independent director to</t>
  </si>
  <si>
    <t>ghtings are reviewed using an Agile approach to remain responsive to shifts in material topics driven by evolving global conditions Monitoring &amp; Communication - Performance is monitored on an ongoing basis, with overall progress communicated to employees twice a year through Corporate Townhall meetings, ensuring organizational alignment on shared goals and readiness to effectively navigate emerging challenges. Reference link for sustainability policy : https://sustainability.centralpattana.co.th/en/sustainability- at-cpn/sustainability-policy Sustainability management goals Does the company set sustainability management : Yes goals 1. Strategy ; Achieving net zero emissions and building local wealth Material Sustainability Issues</t>
  </si>
  <si>
    <t>LRQA Independent Assurance Statement Relating to Central Pattana Public Company Limited’s Annual Report (Sustainability part) 2025 for the calendar year 2025 This Assurance Statement has been prepared for Central Pattana Public Co., Ltd. in accordance with our contract but is intended for the readers of this Report. Terms of engagement LRQA Group Limited (LRQA) was commissioned by Central Pattana Public Co., Ltd. (CPN), to provide independent assurance on its Annual Report (Sustainability part) 2025 (“the report”), against the assu</t>
  </si>
  <si>
    <t>CPN LRQA 2025.pdf</t>
  </si>
  <si>
    <t>in our industry and our region as verified Risk Management tools for 3 million people by 2027 consumption by an independent third party by 2027 Long term target • Enhance cyber security and data privacy to protect the • Net-zero emissions by 2050 Sustainability critical business value chains by 2025 Waste Management Human Resource Management Short term target (2023) Performance • 90% of AIS employees is equipped with new digital skills and • Zero e-waste to landfill literacy by 2025 Long term target Corporate Governance • Maintain zero e-waste to landfill Management Structure Internal Control Financial Statement Annual Report 2022 (Form 56-1 One Report) l Advanced Info Service Public Company Limited 64</t>
  </si>
  <si>
    <t>AIS annual report 2022(1).pdf</t>
  </si>
  <si>
    <t>Income statement (Bt mn) 4Q21 3Q22 4Q22 %YoY %QoQ FY21 FY22 %YoY Mobile revenue 29,591 29,107 29,524 -0.2% 1.4% 117,244 116,696 -0.5% Fixed broadband revenues 2,290 2,541 2,598 13% 2.2% 8,436 10,064 19% Other service revenues 1,515 1,481 1,718 13% 16% 5,291 6,274 19% Core service revenue 33,397 33,130 33,840 1.3% 2.1% 130,972 133,033 1.6% IC and NT partnership 3,374 3,171 3,373 —% 6.4% 13,820 12,976 -6.1% Service revenue 36,771 36,301 37,213 1.2% 2.5% 144,791 146,009 0.8% SIM and device sales 13,568 9,934 11,485 -15% 16% 36,542 39,476 8.0% Chairman and C</t>
  </si>
  <si>
    <t>andards Board (SASB) standards Tao Yih, and Somchai Lertsutiwong. challenges, and expectations of all stakeholders. to the public. In 2022, the Sustainable Development Committee met three times with all • Considered and approved the action plan in line with the sustainable • Acknowledged information disclosure in conformance with the Task members present and performed their duties according to the scope of roles business development strategies that correspond to the new goals. Force on Climate-related Financial Disclosures (TCFD) to provide Chairman and CEO Message and responsibilities prescribed in the charter. Material actions carried out The plan covers three aspects: 1) tackling climate change with a plan to guidelines for ass</t>
  </si>
  <si>
    <t>AIS Annual Report 2022.pdf</t>
  </si>
  <si>
    <t>nies/Other Organizations: 2014 – 2021 2014 – 2021 Director, Optus Narrowband Pty Ltd. Director, Optus Network Investments Pty Ltd. Chief Executive Officer Optus, Singtel Optus Pty Ltd. Business Mr. Allen Lew Yoong Keong 2022 – Present 2022 – Present Director, DnaNudge Limited Director, Citibank Singapore Limited 2014 – 2021 2014 – 2021 Director, Optus Networks Pty Ltd. Director, Optus Rental and Leasing Pty Ltd. Age 67 years 2022 – Present Director, Certis Cisco Security Pte. Ltd. 2014 – 2021 Director, Optus Retailco Pty Ltd. Illegal Record in Past 10 years: None 2021 – Present Director, AIS Digital Life Company Limited 2014 – 2021 Director, Optus Share Plan Pty Ltd. Risk Management Nationality: Singaporean 2021 – Present Director</t>
  </si>
  <si>
    <t>p. 136</t>
  </si>
  <si>
    <t>at Baht 54.90 per share. AISDC invested in 2,500,000 of GSADC's additional shares, totalling Baht 137.25 million in September 2022. Sustainability As at December 31, 2022, AISDC held 25% of GSADC’s shares. Movements in investment in joint ventures in the consolidated financial statement and separate financial Performance statement for the years ended December 31, are as follows: Corporate Governance Unit: Million Baht Consolidated Separate financial statements Financial statements Management Structure 2022 2021 2022 2021 As at January 1, 948 799 300 - Internal Control Acquisition of investment in joint venture - 300 - 300 Dividends received during the years (17) (15) - - Financial Statement Currency conversion (11) 8 - - Share of</t>
  </si>
  <si>
    <t>p. 219</t>
  </si>
  <si>
    <t>of the Board Committees may hold their posts for as long as authority does not permit the Committee or appointed persons to (1) Members of the Board Committees may hold their posts for as long as they are serving on the Board of Directors. Any Member who vacates approve any transaction between them or related persons having they are serving on the Board of Directors. Any Member who vacates office at the end of their term may be re-elected. mutual benefits or conflicts of interest (as prescribed in the Company’s Chairman and CEO Message office at the end of their term may be re-elected. (2) In addition to section (1), membership of the Board-Committees will be Articles of Association and Notifications of the Securities and Exchange</t>
  </si>
  <si>
    <t>p. 152</t>
  </si>
  <si>
    <t>on and Sustainable Executive Other Board Committee Compensation Committee Development Committee Committee Committees Chairman of Board of Directors Chairman Chairman Chairman and CEO Message Mr. Kan Trakulhoon - - - And Independent Director and Independent Director and Independent Director Vice Chairman of Board of Directors Mr. Sarath Ratanavadi - Non-executive Director - Non-executive Director - Company Overview And Non-executive Director Chairman Mr. Krairit Euchukanonchai Independent Director - - - Director Business and Independent Director Mr. Predee Daochai 1) Independent Director Independent Director - - - Director Risk Management Ms. Jeann Low Ngiap Jong Non-executive Director - Non-executive Director - - - Sustainability</t>
  </si>
  <si>
    <t>group of companies in our industry and our tions and tools for 3 million people by 2027 region as verified by an independent third party by 2027 Long term target • Enhance cybersecurity and data privacy to protect the • Net-zero emissions by 2050 critical business value chains by 2025 Human Resource Management Waste Management • 90% of AIS employees is equipped with new digital skills and literacy by 2025 Short term target (2023) • Zero e-waste to landfill by 2023 Long term target • Maintain zero e-waste to landfill 63 Annual Report 2023 (Form 56-1 One Report)</t>
  </si>
  <si>
    <t>AIS annual report 2023(1).pdf</t>
  </si>
  <si>
    <t>Company Overview Chairman &amp; CEO Message Business Risk Management Sustainability Performance Corporate Governance Management Structure Internal Control Financial Statement Income statement (Bt mn) 4Q22 3Q23 4Q23 %YoY %QoQ FY22 FY23 %YoY Mobile revenue 29,524 29,311 30,065 1.8% 2.6% 116,696 118,130 1.2% Fixed broadband revenues 2,598 3,021 5,033 94% 67% 10,064 13,621 35% Other service revenues 1,718 1,748 1,957 14% 12% 6,274 6,819 8.7% Core service revenue 33,840 34,080 37,055 9.5% 8.7% 133,033 138,569 4.2% IC and NT partnership 3,373 3,313 3,371 -0.1% 1.7% 12,976 13,352 2.9% Service revenue 37,213 37,393 40,426 8.6% 8.1% 146,009 151,921 4.0% SIM and device sales 11,485 8,675 10,892 -5.2% 26% 39,476 36,952 -6.4% Total reven</t>
  </si>
  <si>
    <t>p. 78</t>
  </si>
  <si>
    <t>anding (diluted) 2,974 2,974 2,974 2,974 Earnings per share (diluted) (in Baht) 9.78 8.75 9.78 8.75 30. DIVIDENDS At the Annual General Meeting of the Shareholders of the Company held on March 24, 2022, the shareholders approved the appropriation of dividend of Baht 7.69 per share. The Company paid an interim dividend at the rate of Baht 3.45 per share on September 1, 2021, therefore the remaining dividend to be paid was Baht 4.24 per share, amounting to Baht 12,609 million. The dividend was paid to shareholders on April 19, 2022. On August 8, 2022, the Board of Director’s meeting approved the declaration of an interim dividend of Baht 3.45 per share, amounting to Baht 10,261 million. The interim dividend was paid to the sharehold</t>
  </si>
  <si>
    <t>p. 241</t>
  </si>
  <si>
    <t>AIS Annual Report 2023.pdf</t>
  </si>
  <si>
    <t>. The first-year assessment result showed that efficiency, renewable energy, green procurement, assessing greenhouse 423,000 program beneficiaries. Thailand people were at the Basic level of cyber wellness. gas emission scope 3, as well as customer engagement. • The Good Kids, Brave Heart Project Building upon the concept 2. Cyberthreat Threat Protection Tools: AIS provides digital services “Giving opportunities is giving a future”, the project grants that safeguard against online threats for both individual users and 2023 Progress scholarships up to the bachelor’s degree to disadvantaged youth. enterprise clients, covering mobile internet and home internet. In Over the years, AIS granted over 1,000 scholarships. We also 2023, the</t>
  </si>
  <si>
    <t>Overview Chairman &amp; CEO Message Business Risk Management Sustainability Performance Corporate Governance Management Structure Internal Control Financial Statement 2021 – Present Director, Gulf TS1 Company Limited 2021 – 2022 Director, Samutprakarn Cogeneration Company Limited 2021 – Present Director, Gulf TS2 Company Limited 2021 – 2021 Director, Gulf Cogeneration Company Limited 2021 – Present Director, Gulf TS3 Company Limited 2018 – 2020 Senior Executive Vice President - Finance, Gulf JP Company Limited 2021 – Present Director, Gulf TS4 Company Limited 2018 – 2018 Chairman, Association of Investment Management Companies 2021 – Present Director, Gulf NLL2 Company Limited 2018 – 2018 Director, The Federation of Thai Capital Marke</t>
  </si>
  <si>
    <t>p. 126</t>
  </si>
  <si>
    <t>on which have been paid up at Baht 25 per share. AISDC, a subsidiary, invested in 1,435,000 of GSADC’s additional shares, totaling Baht 36 million. As at December 31, 2023, AISDC held 25% of GSADC’s shares. Movements in investment in joint ventures in the consolidated and separate financial statement for the years ended December 31, are as follows: Unit: Million Baht Consolidated Separate financial statements Financial statements 2023 2022 2023 2022 As at January 1, 571 948 - 300 Dividends received during the years (22) (17) - - Currency conversion - (11) - - Increase in investment in joint venture 100 - - - Share of profit (loss) of joint ventures accounted for using equity method 37 (48) - (39) Disposal of investment (454) (301)</t>
  </si>
  <si>
    <t>p. 208</t>
  </si>
  <si>
    <t>ive Officer concerning the Company’s business within the limits of delegated approval authority 15. The Committee is accountable to the Board and under obligation to sustainability development operations; granted by the Board of Directors; explain its decisions at the shareholders’ meetings and answer any 5. Report the sustainability development performance to the Board of 7. Review matters that require the Board of Directors’ approval and make questions that may arise; Directors; appropriate recommendations with the exception of activities that have 16. Annually review and reassess the adequacy of this charter and propose 6. Review the sustainability development report and propose to the Board been delegated to other Board sub-co</t>
  </si>
  <si>
    <t>p. 146</t>
  </si>
  <si>
    <t>tion and Sustainable Executive Other Board Audit and Risk Committee Compensation Development Committee Committees Committee Committee Chairman of Board of Directors Chairman and Chairman and Mr. Kan Trakulhoon - - - And Independent Director Independent Director Independent Director Vice Chairman of Board of Directors and Chairman and Non-executive Mr. Sarath Ratanavadi - Non-executive Director - - Non-executive Director Director Chairman and Independent Mr. Krairit Euchukanonchai Independent Director - - - - Director Mr. Predee Daochai 1) Independent Director Independent Director - - - Independent Director Ms. Jeann Low Ngiap Jong Non-executive Director - Non-executive Director - Non-executive Director Non-executive Director Ms. Y</t>
  </si>
  <si>
    <t>p. 140</t>
  </si>
  <si>
    <t>2024 pilot evidence pass: Conservative 0</t>
  </si>
  <si>
    <t>AIS's 2024 disclosure sets a 2030 GHG-intensity reduction target but does not state an entity-level Net Zero target year in the reviewed 2024 disclosure.</t>
  </si>
  <si>
    <t>AIS Annual Report 2024 - Sustainable Development</t>
  </si>
  <si>
    <t>pp.72-74</t>
  </si>
  <si>
    <t>https://investor.ais.co.th/storage/document/annual-reports/2024/advanc-ar2024-03-en.pdf</t>
  </si>
  <si>
    <t>Strict Q1 requires explicit net-zero target and year; not found in reviewed 2024 section. | Imported from the earlier 2024 evidence workbook; researcher personal verification is still required before treating this as final dissertation coding.</t>
  </si>
  <si>
    <t>AIS targets a 25% reduction in Scope 1+2 GHG intensity by 2030 from the 2024 baseline.</t>
  </si>
  <si>
    <t>pp.72-73</t>
  </si>
  <si>
    <t>Quantitative interim target, baseline and target year. | Imported from the earlier 2024 evidence workbook; researcher personal verification is still required before treating this as final dissertation coding.</t>
  </si>
  <si>
    <t>AIS discusses science-based alignment but no 2024 entity-level SBTi validation was confirmed.</t>
  </si>
  <si>
    <t>AIS Annual Report / SBTi Dashboard</t>
  </si>
  <si>
    <t>2024 target section</t>
  </si>
  <si>
    <t>Alignment is not validation. | Imported from the earlier 2024 evidence workbook; researcher personal verification is still required before treating this as final dissertation coding.</t>
  </si>
  <si>
    <t>AIS reports 2024 Scope 1 of 30,349 tCO2e and Scope 2 of 768,532 tCO2e.</t>
  </si>
  <si>
    <t>p.82</t>
  </si>
  <si>
    <t>AIS reports 2024 Scope 3 emissions of 729,107 tCO2e across 11 of 15 categories.</t>
  </si>
  <si>
    <t>Quantitative Scope 3 disclosure. | Imported from the earlier 2024 evidence workbook; researcher personal verification is still required before treating this as final dissertation coding.</t>
  </si>
  <si>
    <t>AIS provides 2022, 2023 and 2024 Scope 1, 2 and 3 figures.</t>
  </si>
  <si>
    <t>Multi-year data. | Imported from the earlier 2024 evidence workbook; researcher personal verification is still required before treating this as final dissertation coding.</t>
  </si>
  <si>
    <t>AIS links GHG reduction to investment/expenditure decisions and reports solar, PPA, AI energy-efficiency and equipment projects.</t>
  </si>
  <si>
    <t>pp.81-82</t>
  </si>
  <si>
    <t>Specific operational and capital-allocation approach. | Imported from the earlier 2024 evidence workbook; researcher personal verification is still required before treating this as final dissertation coding.</t>
  </si>
  <si>
    <t>AIS climate governance engages the Board of Directors in oversight of climate-related risks and opportunities.</t>
  </si>
  <si>
    <t>AIS TCFD Report 2024</t>
  </si>
  <si>
    <t>Governance</t>
  </si>
  <si>
    <t>https://sustainability.ais.co.th/storage/sustainability-priorities/emissions/ais-tcfd-2024.pdf</t>
  </si>
  <si>
    <t>2024 is the baseline year for AIS's revised 2030 target, so the 2024 report cannot yet show progress against that new baseline target.</t>
  </si>
  <si>
    <t>Project-level avoided emissions are not treated as target progress under the strict rule. | Imported from the earlier 2024 evidence workbook; researcher personal verification is still required before treating this as final dissertation coding.</t>
  </si>
  <si>
    <t>AIS states that 2024 GHG emissions were verified by SGS (Thailand) Limited.</t>
  </si>
  <si>
    <t>Independent GHG verifier is explicitly named. | Imported from the earlier 2024 evidence workbook; researcher personal verification is still required before treating this as final dissertation coding.</t>
  </si>
  <si>
    <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t>
  </si>
  <si>
    <t>AIS annual report 2025(1).pdf</t>
  </si>
  <si>
    <t>p. 84</t>
  </si>
  <si>
    <t>Enterprise service revenue (non-mobile revenue) amounted to Bt7,828mn, up 11% YoY, supported by rising digital adoption across enterprise sectors as businesses seek to enhance operational efficiency amid a softer economic Management Structure environment. AIS continued Internal to focusControl on serving Financial B2B customers Statement with end-to-end solutions, ranging from connectivity infrastructure such as 5G for enterprise and EDS, to cloud, data center, and digital solutions tailored to enterprise needs. Annual Report 2025 (Form 56-1 One Report) Sales revenue amounted to Bt43,708mn</t>
  </si>
  <si>
    <t>ight (8) based persons, on for each the amounted Chairman director’s to of Baht the 25 Board million. performance of of Directors, The duties directors’ remuneration policy within the total budget of Baht 25 million, as approved by the general meeting of and independent remunerationwas was directors, paid allocated to in the and accordancenon-executive directors and with sub- the directors, committee directors’ totalingheldeight members remuneration onbased (8)policy persons, onwithineachamounted the totalto budget director’s Baht 25ofmillion. performance Bahtof25 The remuneration duties andaswas million, was paid allocated approved by into directors thegeneral theaccordance and sub- with meeting the of #MARKER:PART_2 shareholders</t>
  </si>
  <si>
    <t>gy management plan : Yes AIS implements a comprehensive GHG emissions reduction strategy to mitigate climate change impacts and support national and global emissions reduction objectives. The Company focuses on reducing Scope 1 and Scope 2 GHG 93 emissions through a Decarbonization Roadmap, encompassing energy efficiency improvements, the transition to electric #MARKER:PART_1 vehicles, and the deployment of renewable energy. Reference link for company's energy management plan : https://sustainability.ais.co.th/storage/sustainability- report/2025/20260219-advanc-srd-2025-en.pdf Page number of the reference link : 109 Setting goals for managing electricity and/or oil and fuel Does the company set goals for electricity and/or fuel :</t>
  </si>
  <si>
    <t>p. 105</t>
  </si>
  <si>
    <t>00 30,349.00 28,787.00 Metric tonnes of carbon dioxide equivalent) Total greenhouse gas emissions - Scope 2 ( 694,913.00 768,532.00 792,129.00 Metric tonnes of carbon dioxide equivalent) Total greenhouse gas emissions - Scope 3 ( 414,205.00 729,107.00 638,547.00 Metric tonnes of carbon dioxide equivalent) Greenhouse gas management: Verification of the company's greenhouse gas emissions over the past year Verification of the company's greenhouse gas emissions : Yes List of greenhouse gas verifier entity : Other : SGS (Thailand) Limited Information on other environmental management Plans, performance, and outcomes related to other environmental management AIS recognizes the importance of conserving and protecting biodiversity and th</t>
  </si>
  <si>
    <t>,269 2025 47,886 DIGITAL LIFESTYLE PRODUCT SALES 2024 213,569 2024 113,482 2024 35,075 5G network leader, Fixed broadband service leader, Distribution of leading guaranteed by 7 global guaranteed by mobile device brands 2023 188,873 2023 95,023 2023 29,086 awards from * two global awards 5G subscribers 17.9 million, with 5G network coverage exceeding from * Accessories and +5.9% +8.6% +37% digital lifestyle products 95% of the population nationwide. Fiber optic network revenue growth across all business segments Expansion driven by quality-focused growth and efficient cost management Growth fueled by operational excellence and financial cost optimization covering 20 million Sales and service channels covering Roaming services cove</t>
  </si>
  <si>
    <t>ndent directors, and non-executive r ctotal tors’ monetary idirectors, mune ateight retotaling remuneration ion p(8) y f r for olicpersons, the theamounted e r 20o2r5s to Baht c yeaChairman t of the25Board of Directors, million. independent The remuneration was directors, paid to the non-executive anddirectors and sub- DThe total directors, ’ monetary re m u totaling e a tremuneration eighti o n p (8)o l i cy persons,f o r for t he the y e a amounted Chairman r 2 0 25to of Baht the 25 Board million. of committee members based on each director’s performance of duties and was allocated in accordance withsub- Directors, The independent remuneration was directors, paid to the and non-executive directors and the 254 The total directors</t>
  </si>
  <si>
    <t>board or taskforce the same family : No The company Chairman appointsofathe is a member least one independent executive director : Yes board or askforce No to determine The company the atagenda appoints of the least one board of directors’ independent director : Yes meeting to determine the agenda of the board of directors’ The measures for balancing the power between themeeting board of directors and the Management TThe he mmeasures easures foforr bbalancing alancing ththe e ppower ower bbetween etween ththe e bboard oard o:f diYes rectors and the Management of directors The measures for balancing the powerandbetween the Management the board : Yes Methods of balancing power between of directors the board of : Appointing an indepe</t>
  </si>
  <si>
    <t>p. 225</t>
  </si>
  <si>
    <t>directors, Independent Compliance, Corporate director) Social Responsibility, Contents Business Overview Risk Management Sustainability Performance Corporate Governance Finance &amp; Securities, Law, Risk Management Selection of independent directors Criteria for selecting independent directors The Company has established qualifications for independent directors that are more stringent than the minimum requirements prescribed by law. For example, an independent director must hold no more than 0.5% of the total243 voting shares of</t>
  </si>
  <si>
    <t>p. 256</t>
  </si>
  <si>
    <t>Bangchak Corporation Public Company Limited 114 Integrated Sustainability Report 2022 2022 Target NET: Net Zero Ecosystem • Scope 1 greenhouse gas emissions of refineries do not Building an ecosystem to support the Net Zero GHG Emissions exceed 953,055 tons of carbon dioxide equivalent. goal, such as: Establishment of Winnonie electric motorcycle • Scope 2 greenhouse gas emissions of refineries rental platform collaboration with various sectors to establish do not exceed 4,310 tons of carbon dioxide equivalent. Carbon Market Club. In addition, the company has expressed its intention to be a part of driving and suppo</t>
  </si>
  <si>
    <t>BCP sus report 2022.pdf</t>
  </si>
  <si>
    <t>p. 100</t>
  </si>
  <si>
    <t>wer low sulfur fuel oil supply. Refinery and Oil Trading Business Group Performance Refinery and Oil Trading Business Group Q4/2022 Q3/2022 QoQ Q4/2021 YoY 2022 2021 YoY Performance Revenue (THB Million) 74,664 62,137 20% 56,544 32% 270,268 173,644 56% EBITDA (THB Million) 2,207 4,131 -47% 3,084 -28% 17,864 9,363 91% Average Crude Run (KBD) 122.6 123.2 -0.4% 112.2 9% 122.6 99.0 24% Utilization Rate (%) 102% 103% 94% 102% 83% Average FX (THB/USD) 36.54 36.57 33.55 35.24 32.16 (Unit: US$/BBL) Operating GRM 14.68 11.20 3.48 6.79 7.90 14.33 4.52 9.81 Oil Hedging 1.22 4.07 -2.85 (0.72) 1.94 (3.49) (0.69) -2.80 Inventory gain/ (Loss)1/ (9.26) (4.82) -4.44 3.91 -13.17 1.03 5.13 -4.10 Total GRM 6.64 10.45 -3.81 9.97 -3.33 11.87 8.96 2.91</t>
  </si>
  <si>
    <t>BCP one report 2022.pdf</t>
  </si>
  <si>
    <t>p. 131</t>
  </si>
  <si>
    <t>Notes to the financial statements For year For the the year ended ended 31 31 December2022 December 2022 At the Board of Directors’ meeting of BBGI Public Company Limited held on 16 February 2023 the Board of subsidiary approved to submit for approval at the Annual General Meeting of the Shareholders, a full year 2022 dividend payment at the rate of Baht 0.25 per share, of which Baht 0.20 per share was paid as an interim dividend. Thus, the remaining dividend will be at the rate of Baht 0.05 per share payable to the shareholders entitled to receive dividends. This dividend is subject to the approval of the Shareholders at the Annual General Meeting to be held on 5 April 2023. At the Board of Directors’ meeting held on 30 January 2</t>
  </si>
  <si>
    <t>p. 348</t>
  </si>
  <si>
    <t>Bangchak Corporation Public Company Limited 185-186 Integrated Sustainability Report 2022 Business units Refinery Business M-Tower and Regional office M-Tower and Reginal office Marketing Business GHG emissions scope 1 &amp; scope 2 Indicators Material Aspects Unit 2018 2019 2020 2021 2022 2018 2019 2020 2021 2022 2018 2019 2020 2021 2022 Total Direct GHG emission (SCOPE 1) Total Direct GHG emission (SCOPE 1) tCO2e 900,704.37 898,314.15 885,906.72 821,155.65 930,897.27 - - - 478.63 484.69 - - 507.98 493.41 738.50 - CO2 tCO2e 899,954.62 897,562.70 883,796.95 819,065.76 928,384.04 - - - 468.15 475.33 - - 499.21 485.38 572.33 - Biogenic CO2 tCO2e 52.25 31.42 28.04 5.39 3.80 - - - 64.76 48.52 - - 53.61 90.71 102.13 - CH4 and Fugi</t>
  </si>
  <si>
    <t>p. 168</t>
  </si>
  <si>
    <t>ata and information for only the selected indicators listed below: ­ GRI 303-3 : Water withdrawal(2) (2018) ­ GRI 303-4 : Water discharge(2) (2018) ­ GRI 303-5 : Water consumption(2) (2018) ­ GRI 305-3 : Other indirect (Scope 3) GHG emissions(3) (2016) ­ GRI 305-5 : Reduction of GHG emissions(4) (2016) ­ GRI 305-7 : Nitrogen Oxides (NOx), Sulfur Oxides (SOx), and other significant air emissions (VOC and H2S) (5) (2016) ­ GRI 306-3 : Waste generated(2) (2020) ­ GRI 306-4 : Waste diverted from disposal(2) (2020) ­ GRI 306-5 : Waste directed to disposal(2) (2020) ­ GRI 306-3 : Significant spills(5) (2016) ­ GRI 403-9 : Work-related injuries(2) (2018) ­ GRI 403-10 : Work-related ill health(2) (2018) ­ GRI 405-2 : Ratio of basic salary</t>
  </si>
  <si>
    <t>r at 25% ownership interest. As a result, Keha Sukpracha Public Company Limited became an associate of the Group. Star Energy Group Holdings Pte. Ltd. On 3 March 2022, BCPG Public Company Limited (“BCPG”) sold the whole investment in Star Energy Group Holdings Pte. Ltd. to Springhead Holdings Pte. Ltd., which is not the related party of the Group, for a consideration of USD 440 million (equivalent to Baht 14,551 million). The investment cost using equity method on that date is Baht 12,148 million. BCPG recognised loss which previously recognised in other comprehensive income amounting to Baht 321 million and expenses related to disposal amounting to Baht 52 million. Consequently, the Group recognised a net gain on disposal of an i</t>
  </si>
  <si>
    <t>p. 295</t>
  </si>
  <si>
    <t>operations, relevant law and standards, and other applicable obligations. The board should support all directors in updating and refreshing their skills and knowledge necessary to carry out their roles on the board and board committees. 4.9 The board should ensure that it can perform its duties effectively and have access to accurate, relevant and timely information. The board should appoint a company secretary with necessary qualifications, knowledge, skills and experience to support the board in performing its duties.</t>
  </si>
  <si>
    <t>on Public Company Limited 131 Form 56-1 One Report 2022 Performance Performance by by Business Business GroupGroup demand from the aviation industry. 3. Diesel and Dubai crack spread (GO-DB) average in Q4/2022 increased compared to Q3/2022 supported by tight supply in Europe due to labor strikes at multiple French refineries during the turnaround season. The strikes resulted in increased diesel import from Asia in order to support demand during the winter. Diesel and Dubai crack spread (GO-DB) average in 2022 increased compared to 2021 due to market uncertainties from European sanctions of refined products from Russia, while overall refined product inventories were below average and recovering in demand from the lifting of COVID-1</t>
  </si>
  <si>
    <t>cope 1) GHG emissions(7) (2016)  GRI 305-2 : Energy indirect (Scope 2) GHG emissions(7) (2016)  GRI 305-4 : GHG emissions intensity(7)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t>
  </si>
  <si>
    <t>p. 196</t>
  </si>
  <si>
    <t>Independent external assurance/verification covers relevant GHG or climate data. | AI-assisted evidence retrieval; not yet personally verified by the researcher.</t>
  </si>
  <si>
    <t>Bangchak Corporation Public Company Limited Integrated Sustainability Report 2023 61 4 GREEN Society The NET : Bangchak strives to maintain the balance in business based Net Zero Ecosystem on the concept of Greenovate to Regenerate. This is based on maintaining a balance between “value” and “virtue” to Plan aims to promote the Net Zero Ecosystem in address the Energy Trilemma in the drive towards a Thailand, covering the preparation for Thailand’s lowcarbon society with the goal of achieving NetZero GHG Carbon Neutrality by 2050 and Net Zero Emissions Emissions by 2050, as well as maintaining a balance as an by 2065. Both targets are still new to Thai society; organization rich in</t>
  </si>
  <si>
    <t>BCP sus report 2023.pdf</t>
  </si>
  <si>
    <t>nsion Social Dimension Appendix Bangchak Corporation Public Company Limited Integrated Sustainability Report 2023 15 Shareholding Structure Vayupak Fund 1 Thai NVDR Social Security Office Ministry of Finance Public 19.84% 14.94% 14.27% 4.76% 46.19% The date to list shareholders is September 7, 2023 Bangchak Corporation Plc. Registered Capital and Paid-up Capital Baht 1,376,923,157 Refinery, Trading Business Natural Resource Business Other Business and Marketing Business Clean Energy Business Bio-Based Products Business and Business Development 100% 100% 50% Refinery Optimization and Synergy 57.19% 44.99% BBGI Plc. BCP Innovation Pte. Ltd. BCPR Co., Ltd. Bangchak Treasury Center 100% Enterprise Co., Ltd BCPG Plc. Co., Ltd. 76.34% 5</t>
  </si>
  <si>
    <t>Bangchak Corporation Public Company Limited Form 56-1 One Report 2023 131 Other Important Events in 2023 until Present February 2024 • BCP: At the Board of Directors’ meeting, the Board approved to submit for approval at the Annual General Meeting of the Shareholders, a full year 2023 dividend payment at the rate of THB 2.00 per share of which THB 0.50 per share was paid as an interim dividend. Thus, the remaining dividend will be at the rate of THB 1.50 per share payable to the shareholders entitled to receive dividends. This dividend is subject to the approval of the Shareholders at the Annual General Meeting to be held on April 11, 2024. • BSRC: At the Board of Directors’ meeting, the Board app</t>
  </si>
  <si>
    <t>BCP one report 2023.pdf</t>
  </si>
  <si>
    <t>p. 129</t>
  </si>
  <si>
    <t>Overview Governance and Economic Dimension Environmental Dimension Social Dimension Appendix Bangchak Corporation Public Company Limited Integrated Sustainability Report 2023 237 GHG emissions scope 1 &amp; scope 2 Bangkok Fuel 1 Pipeline and BCP Trading 2 3 Business unit Refinery Business Marketing Business Office building and Region Business Centers Logistics (BCPT) 4 4 (BFPL) Indicator Material Aspect Unit 2020 2021 2022 2023 2023 2023 2020 2021 2022 2023 2020 2021 2022 2023 Total direct GHG emission (Scope 1) Total direct GHG emission (Scope 1) tCO2e 885,906.72 821,155.65 930,897.27 940,428.34 - - 509.72 580.53 480.44 473.72 478.63 484.69 419.44 • CO2 tCO2e 883,796.95 819,065.76 928,384.04 938,073.49 - -</t>
  </si>
  <si>
    <t>Overview Governance and Economic Dimension Environmental Dimension Social Dimension Appendix Bangchak Corporation Public Company Limited Integrated Sustainability Report 2023 239 Other relevant indirect GHG emission (Scope 3) Bangkok Fuel Pipeline and BCP Trading Business unit Refinery Business1 Logistics 4 Marketing Business 2 Office building and Region Business Centers 3 (BCPT) 4 (BFPL) Indicator Material Aspect Unit 2020 2021 2022 2023 2023 2023 2020 2021 2022 2023 2020 2021 2022 2023 Other relevant indirect GHG emission (Scope 3) Other relevant indirect GHG emission (Scope 3) tCO2e 424,801.41 602,181.87 1,919,764.73 6.26 0.00 2,841,458.23 2,897,001.53 2,925,907.33 12.92 155.14 Reporting according to operational control appr</t>
  </si>
  <si>
    <t>p. 212</t>
  </si>
  <si>
    <t>Overview Governance and Economic Dimension Environmental Dimension Social Dimension Appendix Bangchak Corporation Public Company Limited Integrated Sustainability Report 2023 235 GHG emissions scope 1 &amp; scope 2 Bangkok Fuel Pipeline and BCP Trading Business unit Refinery Business1 Logistics 4 Marketing Business 2 Office building and Region Business Centers 3 (BCPT) 4 (BFPL) Indicator Material Aspect Unit 2020 2021 2022 2023 2023 2023 2020 2021 2022 2023 2020 2021 2022 2023 Total Indirect GHG emission (Scope 2) Total Indirect GHG emission (Scope 2) tCO2e 6,845.13 5,923.19 5,110.71 6,274.75 5,148.38 1.86 11,927.39 11,609.19 7,701.17 6,438.23 591.33 733.23 800.19 Total Indirect GHG emission (Scope 2) tCO2e</t>
  </si>
  <si>
    <t>p. 210</t>
  </si>
  <si>
    <t>poration ended 31 Public December 2023 Company Limited and its Subsidiaries Bangchak Notes toCorporation the financialPublic Company Limited and its Subsidiaries statements For the year ended 31 December 2023 Changes in investments in associates and joint ventures PetroWind Energy Inc. On 20 December 2022, the Boad of Directors’ meeting of PetroWind Energy Inc. (“PWEI”), a joint venture of BCPG Wind Cooperatief U.A. (“BCPGW”), which is an indirect subsidiary of the Group, has approved a capital increase of Philippine Peso 156 million from the original registered capital of Philippine Peso 1,900 million to Philippine Peso 2,056 million. During the year 2023, PWEI called for payment of the new shares issued amounting to Philippine P</t>
  </si>
  <si>
    <t>p. 293</t>
  </si>
  <si>
    <t>Bangchak Corporation Public Company Limited Form 56-1 One Report 2023 179 7.2.3 Roles, Duties, and Responsibilities of the Board of Directors 1. Carry out duties under laws, objectives, and regulations 4. Strengthen Board Effectiveness of the Company as well as resolutions of shareholders’ 4.1 The Board should be responsible for determining meetings with honesty, protect the Company’s benefit, and reviewing the Board structure, in terms of size, and have accountability to the shareholders. composition, and the proportion of independent 2. Establish Clear Leadership Role and Responsibilities of directors so as to ensure its leadership r</t>
  </si>
  <si>
    <t>ope 1) GHG emissions (9) (2016)  GRI 305-2: Energy indirect (Scope 2) GHG emissions (9) (2016)  GRI 305-4 : GHG emissions intensity(9)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t>
  </si>
  <si>
    <t>p. 245</t>
  </si>
  <si>
    <t>esses and to apply artificial intelligence Principles and standards for greenhouse gas or climate innovations to enhance operational efficiency. change management : • Thailand Greenhouse Gas Management Organization NET: Net Zero Ecosystem (TGO) With the Thai society in mind, this strategy was to prepare • The Greenhouse Gas Protocol them for Carbon Neutrality by 2050 and Net-Zero by 2065. • American Petroleum Institute (API) Compendium of The Company collaborated with government agencies, the Greenhouse Gas Emissions Methodologies for the Oil private sector, and the public to educate internal and and Natural Gas Industry external stakeholders on the knowledge, understanding, • Carbon Offsetting and Reduction Scheme for Internation</t>
  </si>
  <si>
    <t>BCP one report 2024.pdf</t>
  </si>
  <si>
    <t>p. 101</t>
  </si>
  <si>
    <t>Shareholding Diagram of the Group of Companies Vayupak Fund 1 Thai NVDR Company Limited Social Security Office Ministry of Finance Public 13.67% 11.78% 14.18% 4.76% 55.61% The date to list shareholders is 5 September 2024 Bangchak Corporation Plc. Registered Capital and Paid-up Capital Baht 1,376,923,157 Refinery, Trading Business and Marketing Clean Energy Business Bio-Based Products Business Natural Resource Business and Other Business Business Business Development 100% 100% 50% Refinery Optimization and 57.81% 45% Bangchak Treasury 100% BCPG Plc. BBGI Plc. BCP Innovation Pte. Ltd. BCPR Co., Ltd. Synergy Enterprise Co., Ltd. Center Co., Ltd. 81.74% 50%</t>
  </si>
  <si>
    <t>C with newly issued ordinary shares of the Subsidiaries Company in order to delist BSRC shares from being listed shares on the SET. Dividend payment At the Board of Directors’ meeting held on 20 February 2025, the Board approved to submit for approval at the Annual General Meeting of the Shareholders, a full year 2024 dividend payment at the rate of Baht 1.05 per share of which Baht 0.60 per share was paid as an interim dividend. Thus, the remaining dividend will be at the rate of Baht 0.45 per share payable to the shareholders entitled to receive dividends. This dividend is subject to the approval of the Shareholders at the Annual General Meeting to be held on 11 April 2025. At the Board of Directors’ meeting of BBGI Public Compa</t>
  </si>
  <si>
    <t>house Gas Management : Corporate Greenhouse Gas Emission 2022 2023 2024 Total greenhouse gas emissions 4,058,037.88 5,379,675.95 5,596,260.31 (Metric tonnes of carbon dioxide equivalent) Total greenhouse gas emissions - Scope 1 931,381.93 940,847.78 976,280.59 (Metric tonnes of carbon dioxide equivalent) Total greenhouse gas emissions - Scope 2 5,843.94 7,074.94 8,612.34 (Metric tonnes of carbon dioxide equivalent) Total greenhouse gas emissions - Scope 3 3,120,812.01 4,431,753.23 4,611,367.38 (Metric tonnes of carbon dioxide equivalent) Greenhouse Gas Management: Verification of the Company’s Greenhouse Gas Emissions Over the Past Year Verification of the Company’s greenhouse gas emissions : Yes List of greenhouse gas verifier en</t>
  </si>
  <si>
    <t>p. 103</t>
  </si>
  <si>
    <t>381.93 940,847.78 976,280.59 (Metric tonnes of carbon dioxide equivalent) Total greenhouse gas emissions - Scope 2 5,843.94 7,074.94 8,612.34 (Metric tonnes of carbon dioxide equivalent) Total greenhouse gas emissions - Scope 3 3,120,812.01 4,431,753.23 4,611,367.38 (Metric tonnes of carbon dioxide equivalent) Greenhouse Gas Management: Verification of the Company’s Greenhouse Gas Emissions Over the Past Year Verification of the Company’s greenhouse gas emissions : Yes List of greenhouse gas verifier entity : Other : LRQA (Thailand) Limited Information on Incidents Related to Legal Violations or Negative Environmental Impacts Number of Cases and Incidents of Legal Violations or Negative Environmental Impacts 2022 2023 2024 Number</t>
  </si>
  <si>
    <t>t half year 2023 24 August 2023 19 September 2023 (0.50) (689) Dividend payment during the year 2024 2.10 2,890 2023 An interim dividend for first half year 2023 24 August 2023 19 September 2023 0.50 689 Annual dividend 2022 11 April 2023 24 April 2023 2.25 3,065 An interim dividend for first half year 2022 18 August 2022 13 September 2022 (1.25) (1,698) Dividend payment during the year 2023 1.50 2,056 30 Financial instruments (a) Carrying amounts and fair values The following table shows the carrying amounts and fair values of financial assets and financial liabilities, including their levels in the fair value hierarchy, but does not include fair value information for financial assets and financial liabilities measured at amortis</t>
  </si>
  <si>
    <t>p. 344</t>
  </si>
  <si>
    <t>ation Public Company Limited and its Subsidiaries ForNotes to the financial statements For theyear the year ended ended 3131 December December 20242024 Bangchak Corporation Public Company Limited and its Subsidiaries 11 Investments in subsidiaries Separate financial statements Year ended 31 December 2024 2023 (in million Baht) At 1 January 47,491 18,573 Addition 8,358 28,918 Reversal of impairment loss 98 - At 31 December 55,947 47,491 Change in investment in subsidiaries BCPG Public Company Limited On 26 June 2024, the Group sold the whole investments in solar power plant projects in Japan to Obton Japan GK, which is not the Group’s related party, with the cash proceeds from disposal of investment of Baht 6,005 million. The net a</t>
  </si>
  <si>
    <t>p. 302</t>
  </si>
  <si>
    <t>6.1.1 Policy and Guidelines Related independent director be appointed to jointly consider to the Board of Directors • the agenda of the Board meeting. New directors must undergo an orientation to understand The Board of Directors, as the leader and the person with the objectives, key goals, vision, mission, values, organization, ultimate responsibility for the organization, plays an important nature and approach to business operations, relevant role in overseeing the business to achieve good long-term regulations, good corporate governance policies, and performance, credibility for shareholders and stakeholder</t>
  </si>
  <si>
    <t>p. 150</t>
  </si>
  <si>
    <t>Overview Business Operations Corporate Governance Financial Attachment and Performance Statements Selection of Independent Directors 5. An Independent Director must not be nor ever have been Criteria for Selecting Independent Directors an auditor of Bangchak, its parent company or any of its Qualifications of Independent Directors - At least one-third subsidiaries, affiliates, major Shareholders or controlling of the Board must be independent directors, each of whom individuals/entities. In addition, he/she must not be must comply with the following: a significant Shareholder, a controlling individual or 1. An Independent D</t>
  </si>
  <si>
    <t>p. 205</t>
  </si>
  <si>
    <t>with high ecological average of 4.74, up from 4.51 in the previous year. In rehabilitation potential. terms of personalized marketing, the Company analyzes customer data to tailor promotions and activities that The NET: Net Zero Ecosystem Plan align with individual customer behaviors, for example, The Company actively promotes the development of a bonus points for fuel purchases meeting specified Net Zero Ecosystem in Thailand, recognizing that the thresholds and other targeted promotions that address nation’s journey toward achieving Net Zero Emissions by the needs of Bangchak GreenMiles members. As of now, 2050 remains at an early stage. To support this transition, the program has a membership base of 9.7 million. the Company co</t>
  </si>
  <si>
    <t>BCP one report 2025.pdf</t>
  </si>
  <si>
    <t>Trading Business Business Group Group  Refinery and Oil Trading Business Group Performance 2024 2025 YoY Refinery and Oil Trading Business Group Performance 2024 2025 YoY Revenue (THB Million) 1/ 1/ 492,993 416,913 -15% Revenue (THB Million) 492,993 416,913 -15% EBITDA (THB Million) 5,006 8,840 77% EBITDA (THB Million) 2/ 5,006 8,840 77% - under Bangchak operation 2/ 4,227 8,287 96% - under Bangchak operation 4,227 8,287 96% - under BSRC operation2/ 2/ 599 602 0.5% - under BSRC operation 599 602 0.5% Refinery Business Refinery Business Average Crude Run (KBD) 258.4 263.7 2% Average Crude Run (KBD) 258.4 263.7 2% Utilization Rate (%) 88% 90% Utilization Rate (%) 88% 90% Operating GRM (US$/BBL) 4.05 6.72 2.67 Operating GRM (US$/BB</t>
  </si>
  <si>
    <t>p. 142</t>
  </si>
  <si>
    <t>ts Subsidiaries On 11 April 2025, at the Annual General Meeting of the Shareholders for year 2025 of the Company passed a resolution to approve the Company’s shareholding and management restructuring plan as follows: 1. Approved the Company’s shareholding and management restructuring plan under which the Company will offer newly issued shares (allocation of newly issued ordinary shares) to other shareholders of Bangchak Sriracha Public Company Limited (“BSRC”) in which the Company holds shares at 81.7% of its total paid-up shares. 2. Approved a tender offer for all shares of BSRC according to the Company's shareholding and management restructuring plan. The Company will make a tender offer for all BSRC’s shares not exceeding 631.8</t>
  </si>
  <si>
    <t>p. 320</t>
  </si>
  <si>
    <t>Integrated Sustainability Report 2025 157 GHG emissions Bangchak Corporation PCL1, 2 Indicator Material Aspect Unit 2022 2023 2024 2025 5-7, 10-11, 13 Total direct GHG emission (scope 1) Total direct GHG emission (scope 1) tCO2e 931,381.93 940,847.78 976,280.59 907,297.18 • CO2 tCO2e 928,859.37 938,485.10 973,768.69 904,739.95 tCO2e 2,046.41 1,993.62 1,935.79 2,048.51 • CH4 and fugitive CH4 tonne 68.22 66.45 64.51 68.28 tCO2e 413.81 412.84 410.38 545.03 • CH4 Sustainability Performance Statistics GRI305-1 tonne 13.80 13.76 13.66 14.59 tCO2e 1,632.60 1,580.77 1,525.42 1,503.48 • Fugitive CH4 tonne 54.42 52.69 50.85 53.70 • N2O tCO2e 370.20 367.67 365.90 388.99 Operational control approach •</t>
  </si>
  <si>
    <t>BCP sus report 2025.pdf</t>
  </si>
  <si>
    <t>p. 157</t>
  </si>
  <si>
    <t>(scope 1 and 2) of office buildings tCO2e/m2 0.08 0.09 0.09 GRI305-5 Reduction of GHG emissions Reduction of GHG emissions tCO2e 3,531.85 12,101.63 2,406.41 48,571.07 3-5, 9, 11-13 Other relevant indirect GHG emission (scope 3) Other relevant indirect GHG emission (scope 3) tCO2e 3,120,812.01 4,431,753.23 4,611,367.38 6,919,360.81 • Upstream activities tCO2e 570,047.08 1,880,686.60 1,898,591.80 2,117,139.51 • Purchased goods and services tCO2e 1,407.78 1,372,632.91 1,125,034.06 1,290,724.91 Operational control approach • Upstream transportation and distribution tCO2e 568,639.30 440,453.88 703,251.13 805,811.56 • Waste generated in operations tCO2e 67,454.64 70,097.68 20,458.86 GRI305-3 • Business Travel tCO2e 145.17 208.92 144.18</t>
  </si>
  <si>
    <t>setthetheforeign foreignexchange exchangelosses lossesofofthetheClean CleanPower PowerBusiness BusinessGroup, Group,which whichholds holdsUSD‑denominated USD‑denominated assets. assets. • • Gain Gainfromfromsale saleofofinvestment investmentwas wasabsent absentinin2025, 2025,while while2024 2024incurred incurreda againgainfrom fromsale saleofofinvestment investmenttotaling totaling THB 2,159 million from the divestment of solar power plant projects in Japan, or amounting THB 2,159 million from the divestment of solar power plant projects in Japan, or amounting toTHB 1,248 million, to THB 1,248 million, after aftertaxtaxandandbased basedononthetheshareholding shareholdingratio.ratio. • • Loss Lossononimpairment impairmentofofasse</t>
  </si>
  <si>
    <t>p. 139</t>
  </si>
  <si>
    <t>Form 56-1 One Report 2025 199 8. Other Assigned Duties Perform other duties as assigned Sustainability and Corporate Governance by the Board of Directors. Committee 9. Reporting to the Board The Chairperson of the Strategy, Role Transformation, and Risk Management Committee shall • Corporate governance report the meeting results to the Board of Directors at • Sustainability development Governance Corporate the next Board meeting. • Climate-related risks and opportunities governance Nomination and Remuneration Committee Scope of authorities, role, duties, and responsibilities Role Corporate Governance • Director and executive nomination 1. Propose</t>
  </si>
  <si>
    <t>p. 194</t>
  </si>
  <si>
    <t>Integrated Sustainability Report 2025 157 GHG emissions Bangchak Corporation PCL1, 2 Indicator Material Aspect Unit 2022 2023 2024 2025 5-7, 10-11, 13 Total direct GHG emission (scope 1) Total direct GHG emission (scope 1) tCO2e 931,381.93 940,847.78 976,280.59 907,297.18 • CO2 tCO2e 928,859.37 938,485.10 973,768.69 904,739.95 tCO2e 2,046.41 1,993.62 1,935.79 2,048.51 • CH4 and fugitive CH4 tonne 68.22 66.45 64.51 68.28 tCO2e 413.81 412.84 410.38 545.03 • CH4 Sustainability Performance Statistics GRI305-1 tonne 13.80 13.76 13.66 14.59 tCO2e 1,632.60 1,580.</t>
  </si>
  <si>
    <t>or re-use purpose. International Airport has achieved Level 1 Mapping. Solid Waste Management: This started from However, AOT has defined its target to be an campaigns for passengers and AOT employees to organization of Net Zero Carbon Emission as set in reduce and separate waste. In the passenger terminals the environmental strategy plans of 5 years, 10 years and office buildings, bins for different types of waste and 20 years by maintaining carbon emission not being are provided e.g., general waste and recyclable waste. higher than the base year, 50% reduction of carbon Hazardous waste and toxic waste will be separated and emission rate from the base year and then being a net kept away from other kinds of waste and disposed in z</t>
  </si>
  <si>
    <t>AOT one report 2022.pdf</t>
  </si>
  <si>
    <t>p. 113</t>
  </si>
  <si>
    <t>Net-zero language found, but no sufficiently explicit company-specific target year under the strict rule. Manual timing/boundary override applied from prior evidence review. | AI-assisted evidence retrieval; not yet personally verified by the researcher.</t>
  </si>
  <si>
    <t>vid-19 pandemic, with the score of 3.55. The average satisfaction score of every passenger group in all of AOT’s airports is 4.33, and the satisfaction score from Phuket International Airport passenger survey is at 49.64%, higher than other AOT airports. The domestic passenger group has a satisfaction score of 40.83% while the international passenger group has a satisfaction score of 39.89 respectively. Overall BKK DMK HKT CNX HDY CEI Domestic International Very satisfied 40.64% 1,208 1,201 832 652 657 667 4,154 1,063 Satisfied 52.27% 41.72% 38.97% 49.64% 33.13% 40.18% 38.23% 40.83% 39.89% 51.41% 54.37% 46.15% 57.06% 52.66% 52.62% 52.41% 51.74% Fair 6.50% 6.04% 6.16% 3.73% 8.44% 7.15% 8.85% 6.31% 7.24% Dissatisfied 0.46% 0.66% 0.4</t>
  </si>
  <si>
    <t>egistration Statement/Annual Report 2022 (Form 56-1 One Report) Significant Changes and Development On 4 August 2003, the Ministry of Finance, as all In 1914, the Ministry of Defense constructed Don Mueang shareholders, approved to increase registered Airfield, and then its name was changed to Bangkok capital of AOT to be 10,000 million Baht which International Airport and Don Mueang International was paid up by transferring its shares held in New Airport respectively. The airport started its civil aviation Bangkok International Airport Co., Ltd. (NBIA) to AOT. in 1940 under supervision and responsibility of the Subsequently, all of business, rights and responsibilities, Department of Civil Aviation. Then on 3 March 1979, the liab</t>
  </si>
  <si>
    <t>D I G I T A L Airports of Thailand Public Company Limited | P L A T F O R M 293 From the above table, it can be summarised the significant contracts as follows: As at 30 September 2022, AOT has obligation regarding operating expenses. The terms of the contract specify the service charge as variable rate that showing the total minimum service fee payable in the contracts with private sector is Baht 12,959.40 million (2021: Baht 7,171.83 million). As at 30 September 2022, AOT has obligations arising from security service agreement at the airport under the responsibility of AOT and AVSEC, AOT’s subsidiary. (The agreement term is from 1 May 2020 to 1 May 2025) The security service fee is Baht 5,</t>
  </si>
  <si>
    <t>ports. The income from sales or services in this accounting period are Baht 2.40 million. AOT has a list of obligations and relevant persons, or businesses as follows: AOT TAFA Operator Company Limited 1) Obligations on Capital Expenditures and Noise AOT, in a joint venture with TAFA Consortium Company Pollution Limited, established AOT TAFA Operator Company Limited on 4 February 2021 for the operations management of AOT has contractual obligations of Suvarnabhumi Perishable goods at Suvarnabhumi Airport, with AOT’s Airport in total of Baht 11,787.33 million, contractual portion of the shares at 49%. AOT TAFA Operator Company obligations of AOT Head Office, Don Mueang International Limited has a registered capital of Baht 35 milli</t>
  </si>
  <si>
    <t>p. 73</t>
  </si>
  <si>
    <t>D I G I T A L Airports of Thailand Public Company Limited | P L A T F O R M 149 3. Risk Management Program for Corporate the Board of Directors’ performance assessment and Leader (RCL), Class 27; Air Chief Marshal Bhanupong improvement. The Board of Directors has approved to Seyayongka use assessment forms of the State Enterprise Policy 4. Board Nomination and Compensation Program Office under the Ministry of Finance as specified in (BNCP), Class 13/2022; Mr. Krit Sesavej (Supported the “Effective Operation Guidelines of State Enterprise by Government Housing Bank) Committee” as the assessment form for the AOT Board of Directors. 5. Boar</t>
  </si>
  <si>
    <t>p. 151</t>
  </si>
  <si>
    <t>146 Annual Registration Statement/Annual Report 2022 (Form 56-1 One Report) The required qualifications of AOT’s independent Director is not appointed as a representative to safeguard directors are stricter than the minimum requirement set interests of the directors, major shareholders or by the Securities and Exchange Commission and the shareholders related to major shareholders. Stock Exchange of Thailand. The AOT’s independent (5) An Independent Director who possesses director must possess the following qualifications: qualifications according to Item Nos. 1-4 may be (1) An Independent Director holds no more than assigned</t>
  </si>
  <si>
    <t>p. 148</t>
  </si>
  <si>
    <t>AOT one report 2023.pdf</t>
  </si>
  <si>
    <t>No qualifying evidence found under the strict coding rule. Manual timing/boundary override applied from prior evidence review. | AI-assisted evidence retrieval; not yet personally verified by the researcher.</t>
  </si>
  <si>
    <t>tional Airport served a total number of 471,279 flights. commercial flights landing and taking-off at the airports, The total number of aircraft movements landing and increased from those in the fiscal year 2022 by 65.82%, taking-off at Don Mueang International Airport in the fiscal comprising 269,153 international flights and 202,126 domestic year 2023 was 177,194 commercial flights or increased by flights, or increased by 124.63% and 22.96%, respectively. The 84.68%, comprising 64,521 international flights and 112,673 airports served a total number of 74.11 million passengers, domestic flights, or increased by 442.10% and 34.07%, increased from those in the fiscal year 2022 by 128.20%, respectively. The airport handled a total n</t>
  </si>
  <si>
    <t>during pre-COVID-19 period or 26% of all international passengers, has not yet traveled back to Thailand much equal to those of pre-COVID-19 period in 2019. This caused some airlines to suspend some of their flights as approved by CAAT due to the decrease of travel demands. AOT has forecasted that the feasible number of international passengers traveling to AOT’s airports would be 73.79 million which was 8.54 million less than those approved by CAAT or 89.63% of the approved flight schedule allocation. The detailed graphs are shown below: The difference between the airlines’ flight schedule allocations approved and the travel demands of passengers caused the country to lose the total incomes from money spending of foreign travele</t>
  </si>
  <si>
    <t>n of complaints arising from the with the resolution of the AOT Board of Directors to support services of each airport in the 3rd and 4th quarters its performance. As of 30 September 2023, the Corporate (April-September 2022) of the fiscal year 2022, and the Governance Committee comprised 3 directors, and 2 of whom 1st and 2nd quarters (October 2022 – March 2023) of were independent directors. As required in the AOT Articles of the fiscal year 2023. Association and the Corporate Governance Committee Charter, the Committee’s authority, duties and responsibilities are to 2. Corporate Compliance and Anti-Corruption formulate policies and best practices relating to good corporate governance and corporate social responsibility, and to</t>
  </si>
  <si>
    <t>70 Annual Registration Statement/Annual Report 2023 (Form 56-1 One Report) The current liabilities of 23,292.52 million Baht increased by 8,797.47 million Baht or 60.69%, mainly from the growing current portion of lease liabilities which payment were due within a year of 4,831.89 million Baht. Moreover, the short-term loans from financial institutions, which are used to support the operation, increased by 2,096.59 million Baht. Other current liabilities increased by 1,352.65 million Baht and the trade accounts payable increased by 1,030.00 million Baht. While current portion of long-term loans which payment were due within a</t>
  </si>
  <si>
    <t>110 Annual Registration Statement/Annual Report 2023 (Form 56-1 One Report) Responsibilities of the Board of Directors Subcommittees The Board of Directors and Subcommittees The AOT Board of Directors appoints the subcommittees namely the Audit Committee, the Nomination Committee, The Board of Directors the Remuneration Committee, the Corporate Governance Each director must have required qualifications and have Committee and the Risk Management Committee. Members no prohibited attributes according to the laws on public of each committee shall have knowledge, competency limited company, the standard qualification</t>
  </si>
  <si>
    <t>p. 112</t>
  </si>
  <si>
    <t>204 Annual Registration Statement/Annual Report 2023 (Form 56-1 One Report)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t>
  </si>
  <si>
    <t>cation in line with their information employee engagement, thereby creating a receiving behavior sustainability culture within the organization. Goals Strategy Sustainably Environmental Management To support the goal of Net Zero Emissions and To focus on reducing emissions/absorption of 2 greenhouse gases (GHGs) and increasing the apply the concept of Circular Economy to AOT’s efficiency in using the natural resources operations throughout the supply chain. throughout the supply chain. Strategy Stakeholders Engagement To develop response to stakeholder To focus on meeting the stakeholder’s 3 expectations, sustainability assessment, and relationships between AOT and community. expectation, which is a key factor of sustainable organ</t>
  </si>
  <si>
    <t>AOT one report 2024.pdf</t>
  </si>
  <si>
    <t>p. 61</t>
  </si>
  <si>
    <t>Explicit time-bound company net-zero target found. Manual timing/boundary override applied from prior evidence review. | AI-assisted evidence retrieval; not yet personally verified by the researcher.</t>
  </si>
  <si>
    <t>26 Suvarnabhumi Airport and Don Mueang International Airport In the fiscal year 2024, Suvarnabhumi Airport and increased by 24.04%, comprising 48.43 million international Don Mueang International Airport served a total number passenger and 11.56 million domestic passengers, or of 544,199 commercial flights landing and taking-off at increased by 32.41% and decreased by 1.94%, respectively. the airports, increased from those in the fiscal year 2023 The total volume of cargos and postal parcels was by 15.47%, comprising 344,757 international flights and 1.33 million tons or increased by 20.00%, comprising 199,442 domestic flights, or increased</t>
  </si>
  <si>
    <t>by the Board of Directors, effective manner; promote the exercise of independent and shall strictly and loyally manage in accordance with discretion; and invite senior executives to provide necessary the plans or budget approved by the Board of Directors, information to support appropriate decision-making. with strict adherence, integrity and prudence to maintain 5. Be a leader of the AOT Board of Directors the best interests of the company and shareholders. who controls the operations of AOT’s executives for Authority and duties also include the following matters: efficiency purpose. In this regard, the division of roles and (1) Operate business and/or manage the daily tasks responsibilities between the Chairman and the President</t>
  </si>
  <si>
    <t>p. 124</t>
  </si>
  <si>
    <t>Annual Registration Statement/Annual Report 2024 (Form 56-1 One Report) 151 Attendance Record of Each Director at the Board of Directors Meetings Date/Number of Board of Directors Meetings 28 November 2023 18 September 2024 22 December 2023 21 February 2024 25 October 2023 30 January 2024 17 January 2024 21 August 2024 21 March 2024 23 April 2024 30 May 2024 10 June 2024 21 June 2024 25 July 2024 30 July 2024 No. 12/2023, No. 13/2023, No. 10/2024, No. 12/2024, No. 14/2023, No. 11/2024, Names of the Board Members No. 2/2024, No. 9/2024, No. 6/2024, No. 7/2024, No. 8/2024, No. 3/2024, No. 5/2024, No. 4/2024, No. 1/2024, Total 1. Police General Visanu Prasattongosoth ✓ ✓ ✓ ✓ ✓ ✓ ✓ ✓ ✓ ✓ ✓ ✓ ✓ 13/13 2. Police Genera</t>
  </si>
  <si>
    <t>p. 153</t>
  </si>
  <si>
    <t>ward. Other non-current assets of 5,202.64 million Baht decreased by 706.70 million Baht or 11.96% due to a decrease in advance payment of 521.82 million Baht, mainly arising from the Suvarnabhumi Airport’s construction project and receivables from the Revenue Department decreased by 160.43 million Baht. Analysis of Liabilities The total liabilities as of 30 September 2024 of 79,750.92 million Baht decreased by 3,681.98 million Baht or 4.41% from those of 30 September 2023 as detailed below. Unit: Million Baht 2024 2023 Increase % (Decrease) Current liabilities 23,362.68 23,292.52 70.16 0.30 Long-term loans – net of 835.47 1,646.34 (810.87) (49.25) current portion Lease liabilities – net of 46,557.48 49,817.62 (3,260.14) (6.54) cu</t>
  </si>
  <si>
    <t>the Corporate Governance Committee will systems in to its operations and internal airport system consider the Board’s assessment form before submitting development to improve airport facilities while focusing to the AOT Board of Directors for consideration. Then, AOT on improving the quality of passenger services, such as will submit such form to all Board’s members to assess installation of 112 sets of automatic Self-Service Check-in, the Board’s performance before returning it to AOT for automatic Self-Bag Drop, 30 sets of automatic E-Passport result analysis. The assessment results and comments of Gate to serve arrival passengers and transit/transfer passengers, the year 2024 will be presented for acknowledgement Face Recogniti</t>
  </si>
  <si>
    <t>p. 149</t>
  </si>
  <si>
    <t>of the AOT Board of Directors as follows: - At least 5 persons but not more than 15 persons are elected by the shareholders’ meeting. - At least one-third of the total number of directors but not less than 3 persons are independent directors. - At least half of the total number of directors must reside within the Kingdom of Thailand. - At least 1 director must have knowledge and skills in accounting and finance. As of 30 September 2024, the AOT Board of Directors consisted of 13 non - executive directors. Among this number, 3 were women and 7 were independent directors, which exceeded one-third of the total number of directors. Details are as follows: No. Name Position Appointment Date 1. Police General Visanu Chairman 28 November</t>
  </si>
  <si>
    <t>inable culture within the organization. ยุทStrategy การบริหารจัEnvironmental ดการดานสิ่งแวดลอManagement มอยางยั่งยืน เปาหมาย ธศาสตรที่ Sustainable Goals 2 ด ว ยการสนั บ สนุ น เป า หมายการมุ To support the goal of Net Zero สูEmissions  ง การปลอย and Focusing on มุงเนนการลดการปลอย/ดูดซับ reducing greenhouse gas emissions/ กาซเรื อ นกระจกสุ ท ธิ เ ป น ศู น ย apply the concept of Circular Economy(Net Zero) และการประยุ to กต กาซเรือนกระจกและการเพิ่มประสิทธิภาพการใชทรัพยากร แนวคิ ด เศรษฐกิ จ หมุ น เวี ย นกั บ การดํ า เนิ น งานของ ทอท. absorption and enhancing อุปทาน of natural วงโซefficiency ธรรมชาติตลอดหthe AOT’s operations throughout the supply chain. resource use across AOT’s supply chain. ตลอดหวงโซอุปทาน ยุทSt</t>
  </si>
  <si>
    <t>AOT one report 2025.pdf</t>
  </si>
  <si>
    <t>ir traffic volumes at all 6 airports Mae Fah Luang - Chiang Rai International Airport, which are in the fiscal year 2025 was 788,095 flights or increased the main airports of the country. In addition to providing by 7.56%, comprising 444,944 international flights and air transportation facilities, AOT is also responsible for 343,151 domestic flights, or increased by 6.91% and 8.42%, managing various commercial activities within the airports respectively. The airports handled the total number of and engaging in joint ventures with companies involved in 125.99 million passengers or increased by 5.61%, comprising airport-related companies and other related businesses, 76.64 million international passengers and 49.35 million such as S</t>
  </si>
  <si>
    <t>Suvarnabhumi Airport Hotel Co., Ltd. On 26 January 2024, the 2023 Annual General Meeting of shareholders of SAH approved the dividend payment for the year 2023 at a rate of Baht 2.24 per share, or for a total of Baht 22.80 million, to shareholders who are entitled to dividend payment. SAH paid the dividends to its shareholders on 23 February 2024. On 27 January 2025, the 2024 Annual General Meeting of shareholders of SAH approved the dividend payment for the year 2024 at a rate of Baht 2.30 per share, or for a total of Baht 23.41 million, to shareholders who are entitled to dividend payment. SAH paid the dividends to its sha</t>
  </si>
  <si>
    <t>p. 263</t>
  </si>
  <si>
    <t>170 Attendance Record of Each Director at the Board of Director Meetings Date/Number of Board of Directors Meetings 24 September 2025 26 December 2024 21 November 2024 18 December 2024 26 February 2025 30 October 2024 22 January 2025 24 January 2025 20 August 2025 27 August 2025 19 March 2025 23 April 2025 25 June 2025 16 June 2025 23 July 2025 21 May 2025 No. 10/2025, No. 12/2025, 13 May 2025 No. 13/2025, No. 16/2024, No. 13/2024, No. 15/2024, No. 14/2024, No. 11/2025, No. 2/2025, No. 9/2025, No. 6/2025, No. 7/2025, No. 8/2025, No. 3/2025, No. 5/2025, No. 4/2025, Names of the Board Members No. 1/2025, Total 1. Mr. Apirat Chaiwongnoi ✓ ✓ ✓ ✓ ✓ ✓ ✓ ✓ ✓ ✓ ✓ ✓</t>
  </si>
  <si>
    <t>p. 172</t>
  </si>
  <si>
    <t>s of equity Total equity as at 30 September 2025 of Baht 132,840.89 million increased by Baht 6,441.97 million or 5.10% from total comprehensive income for the year of Baht 18,379.28 million together with an increase in investment in subsidiary increased during the year by Baht 21.50 million. However, this was offset by dividend payment to owners of the company and non-controlling interests of the subsidiaries of Baht 11,285.08 million and Baht 673.73 million, respectively. Analysis of liquidity As at 30 September 2025, cash and cash equivalents of Baht 19,401.08 million increased by Baht 914.24 million from those of 30 September 2024 as detailed below. Unit: million Baht 2025 Cash flows from operating activities 29,338.47 Cash fl</t>
  </si>
  <si>
    <t>194 Report of the Corporate Governance Committee Dear shareholders, The Corporate Governance Committee of Airports of Thailand Public Company Limited (AOT) was appointed by resolution of the AOT Board of Directors to support the Board’s operations. The Committee is composed of authorities, duties, and responsibilities as outlined in the AOT Articles of Association and the Corporate Governance Committee’s charter. Its objectives are to formulate policies and best practices related to good corporate governance and social responsibility, as well as ensuring compliance with applicable laws, regulations, and criteria aiming to achieve corporate governance that aligns with international standards. This covers ec</t>
  </si>
  <si>
    <t>al revenue arose from departure passenger service charges and landing and parking charges. For the year ended 30 September 2025, aeronautical revenue of Baht 33,047.30 million increased by Baht 2,046.83 million or 6.60% compared to that of the corresponding period of the previous year because departure passenger service charges increased by Baht 1,703.55 million or 6.92% due to a 5.61% increase in the total number of passengers in the 6 airports. Moreover, landing and parking charges increased by Baht 277.28 million or 4.93% because of a 7.56% increase in the total number of flights. Airports of Thailand Public Company Limited Annual Registration Statement/Annual Report 2025 (Form 56-1 One Report)</t>
  </si>
  <si>
    <t>132 As of 1 October 2025, the AOT Board of Directors consisted of 13 non-executive directors. Among this number, 3 were women and 8 were independent directors, which exceeded one-third of the total number of directors. Details are as follows: No. Name Position Appointment Date 1. Mr. Apirat Chaiwongnoi* Chairman/Independent Director 22 June 2022 2. Police General Manoo Mekmok* Independent Director/Chairman of the Nomination Committee 15 November 2016 3. Mr. Pakorn Nilprapunt* Independent Director/Chairman of the Corporate Governance 27 February 2025 Committee/Member of the Audit Committee 4. Admiral Suvin Jangyodsuk Independent Director/Member of th</t>
  </si>
  <si>
    <t>p. 134</t>
  </si>
  <si>
    <t>ls. This is intended to contribute providing suitable and fair remuneration and welfare. to create value for a sustainable future. to the Thai government’s policy to achieve its goal of carbon neutrality within 2050 and net zero Looking back on 2022, we retained a healthy financial On behalf of the Board of Directors, we wish to emissions within 2065. position, high liquidity and capital positions under express our appreciation to all our stakeholders for our prudent management approach for strong and your continued trust and confidence in our business. Digitalization is an important part of sustainability. We sustainable growth. We also have made notable are increasingly digitalizing transactions and services progress through our</t>
  </si>
  <si>
    <t>BBL sus report 2022.pdf</t>
  </si>
  <si>
    <t>ease in Scope 1 • 7.5% decrease in Scope Footprint and Climate indirect greenhouse gas and Scope 2 greenhouse greenhouse gas emissions compared 1 and Scope 2 Impact emissions (Scope 1 and gas emissions compared to 2020 (base year)1 greenhouse gas 2) to 2020 (base year) • 0.92% decrease in Scope 2 greenhouse emissions compared to gas emissions compared to 2020 2020 (base year) (base year)2 2. Reduction of energy • 5% decrease compared • 2.09% decrease compared to 2020 • 7.5% decrease To build employee awareness consumption to 2020 (base year) (base year) compared to 2020 of resource conservation, (base year) implement efficient environmental and resource management system, and mitigate our 3. Reduction of water • 4% decrease compar</t>
  </si>
  <si>
    <t>control risks to be within incur risks and are responsible for managing risks the Risk Management Division, Credit Management acceptable levels as well as to report risk positions to to their own units to be within the approved levels Division and relevant business units. relevant parties and senior management on a regular and in accordance with the risk management basis. policy as approved by the Board of Directors. Board of Directors has a duty to oversee all risks in the organization, plays a key role in formulating the Credit Management Division has a duty to manage To ensure that risk governance is efficient and effective risk management policy and strategy, and monitors credit risk and oversee and monitor credit with proper</t>
  </si>
  <si>
    <t>RD RESILIENT RESPONSIBLE CENTRIC CARING ETHICAL 4. Carbon Offsetting of the Head Office Greenhouse Gas (GHG) Emissions Building in Silom The Bank seeks to become a Carbon Neutral The Bank evaluated the GHG emissions for Scope 1, Scope 2 and Scope 3 (only for air travel, water consumption Organization by continuously participating in and A4 paper consumption) according to the Standard TGO Guidance of the Carbon Footprint Organization carbon offsetting activities held by the Thailand established by the Thailand Greenhouse Gas Management Organization (Public Organization), which is compatible Greenhouse Gas Management Organization (Public with ISO 14064–1. The emissions measurements are based on the emissions factors according to the</t>
  </si>
  <si>
    <t>BLE CENTRIC CARING ETHICAL 4. Carbon Offsetting of the Head Office Greenhouse Gas (GHG) Emissions Building in Silom The Bank seeks to become a Carbon Neutral The Bank evaluated the GHG emissions for Scope 1, Scope 2 and Scope 3 (only for air travel, water consumption Organization by continuously participating in and A4 paper consumption) according to the Standard TGO Guidance of the Carbon Footprint Organization carbon offsetting activities held by the Thailand established by the Thailand Greenhouse Gas Management Organization (Public Organization), which is compatible Greenhouse Gas Management Organization (Public with ISO 14064–1. The emissions measurements are based on the emissions factors according to the standards Organizati</t>
  </si>
  <si>
    <t>RPORATE FINANCIAL ATTACHMENTS THE BOARD OPERATIONS GOVERNANCE STATEMENTS 6.9 Loans to Customers and Accrued Interest Receivables, net 6.9 Loans to Customers and Accrued Interest Receivables, net 6.9.3 As at December 31, 2022 and 2021, the Bank and subsidiaries had non-performing loans (NPLs), 6.9 by 6.9.1 Classified product Loans type asandatAccrued to Customers December Interest31,Receivables, 2022 andnet2021 : 6.9.3 As at December As31, 2021, and and Bank 2022 the 2022 and31,2021, subsidiaries had non-performing loans (NPLs), 6.9.1 Classified by product type as at December 31, 2022 and 2021 : including6.9.3 interbankat December and money31, market items the Bank but the excludingand subsidiaries accrued had non-performing intere</t>
  </si>
  <si>
    <t>BBL one report 2022.pdf</t>
  </si>
  <si>
    <t>DECEMBER ENDED 31, 31, Interbank and money market items 2022 2022 8,034 2021 20216,223 2022 4,963 2022 2021 2,933 2021 Fees and service income 20222022DECEMBER ENDED 31, 2021 2021 2022 DECEMBER ENDED 2022 2021 31, 2021 Investments Interbank andandmoney Investments Interbank trading and moneytransactions market and items trading market transactions items 3888,034 8,034388 459 6,223459 148 4,963 4,963 148 122 2,9332,933 122 Interbank Interbank andmoney Investments and money andmarket tradingitems transactions 8,034 388 6,223459 4,963 148 2,933 122 FeesAcceptances, Fees and serviceandincome service income aval and guarantees of loans 2022 317 2021371 2022 253 2021 334 Investment Investments inand Investment Investments in market ebt</t>
  </si>
  <si>
    <t>p. 231</t>
  </si>
  <si>
    <t>ppointed as the Chairman of the Corporate Governance Committee on November 24, 2022. /4 Mr. Phornthep Phornprapha, was appointed as a Non - Executive Director on April 12, 2022 , and was appointed as the Chairman of the Board of Directors on February 23, 2023. /5 Mr. Bundhit Eua-arporn was appointed as a member of the Audit Committee, and a member of the Nomination and Remuneration Committee on April 28, 2022. /6 Ms. Parnsiree Amatayakul was appointed as a member of the Corporate Governance Committee on April 28, 2022. /7 Mr. Singh Tangtatswas was appointed as a member of the Corporate Governance Committee on November 24, 2022. /8 Mr. Chong Toh was appointed as Director and Senior Executive Vice President on April 12, 2022. /9 Mr.</t>
  </si>
  <si>
    <t>p. 137</t>
  </si>
  <si>
    <t>at initial its early redemption rights,distribution rate of 5.00% at initial distribution rate p.a. of 5.00% p.a. initial instrument ofas5%ato financial liability byratecall taking into consideration subject toboth contractual obligationrate andevery legal 5rights as until the first firstand untilcallthedate date andto subject callsubject reference changetotochange rate every rate to reference 5 years. every 5 years. until thedistribution ratesubject first call date and p.a. until change the first to reference date every and 5 years. change to reference years.  - - 92to-its early redemption rights, at initial distribution rate of 5.00% p.a. - 92pursuant stating in the offering of the Notes. The Bank received net proceeds from the</t>
  </si>
  <si>
    <t>issions that the Bank controls and monitors and is calculated from the electricity consumption of the Bank as measured by the meters of the Metropolitan Electricity Authority and the Provincial Electricity obtained data verification of our environmental Authority, including electricity consumption from those ATM without meters which is estimated from the average rate of electricity and resource consumption from an external party consumption of each type of ATM the Bank is using. The emissions factor is 0.4999 kgCO2e/kWh based on the emissions factor registered with the Thailand Greenhouse Gas according to the quantification of the carbon footprint of an organization set by the Thailand Greenhouse Gas Management Management Organiza</t>
  </si>
  <si>
    <t>regulators that require businesses to take tangible actions in terms of social and environmental and environmental conditions. responsibility, particularly supporting the country to achieve carbon neutrality in 2050 and net zero carbon emissions in 2. Human Resource Management including treating 2065. Therefore, the Bank has developed a sustainability policy and a systematic sustainability framework including setting employees equally and fairly without discrimination, sustainability strategies that are aligned with our business and the interests of our stakeholders. We have also incorporated providing them with occupational health, safety and materiality issues derived from the double materiality assessment that require stakehold</t>
  </si>
  <si>
    <t>BBL sus report 2023.pdf</t>
  </si>
  <si>
    <t>rformance 2021-2023 1. Reduction of direct and • 7.5% decrease in Scope 1 • 48.48% increase in Scope 1 greenhouse gas • 7.5% decrease in Scope 1 indirect greenhouse gas and Scope 2 greenhouse emissions compared to 2020 (base year) and Scope 2 greenhouse emissions (Scope 1 and 2) gas emissions compared • 3.13% decrease in Scope 2 greenhouse gas gas emissions compared to 2020 (base year) emissions compared to 2020 (base year) to 2020 (base year) Environmental and Carbon Footprint 2. Reduction of energy • 7.5% decrease compared • 8.54% decrease compared to 2020 • 7.5% decrease compared consumption to 2020 (base year) (base year) to 2020 (base year) To build employee awareness of resource conservation, implement efficient 3. Reduction</t>
  </si>
  <si>
    <t>al specified levels as consistent accordance with relevant laws, control is prudent and with the overall risk regulations and statutory effective. Credit Management Division has a duty to manage credit management policy approved requirements. risk, and oversee and monitor credit approval according to by the Board of Directors. the Bank’s credit policy. The division consists of various units, namely the Credit Policy Unit, the Credit Acceptance Unit, the Portfolio Management Unit, the Risk Asset Review Crisis Management Unit, the Special Credit Management Unit, the Loan Recovery and Legal Unit, and the Bank Property Unit. To ensure that the Bank’s business can continue to operate contingency plan to prepare in advance for potential</t>
  </si>
  <si>
    <t>age 149. jointly responsible for waste management at the Tha Chin river estuary and will work with the community, Carbon Footprint government agencies and other stakeholders, The Bank has evaluated the GHG emissions for Scope 1, Scope 2 and Scope 3 (only for air travel for business purposes, water starting with the pilot area around Khlong Luang consumption and A4 paper consumption) according to the Standard TGO Guidance of the Carbon Footprint Organization Sahakhon and Khlong Pittayalongkorn in Samut established by the Thailand Greenhouse Gas Management Organization (Public Organization), which is compatible with Sakhon province. ISO 14064–1. The emissions measurements are based on the emissions factors according to the standards</t>
  </si>
  <si>
    <t>nergy consumption within the organization the base year of 2020. However, we believe that BBL’s future reports should also address financed emissions which are the most relevant - GRI 303-3: Water withdrawal category of Scope 3 emissions for financial institutions, i.e. they are the emissions linked to the investment and lending activities of - GRI 303-4: Water discharge financial institutions (Category 15 in the GHG Protocols list of Scope 3 (Corporate Value Chain Accounting)). - GRI 303-5: Water consumption • Responsiveness: BBL has established and implemented processes for responding to the concerns of various stakeholder groups - GRI 305-1: Direct GHG emissions (Scope 1)2 especially in relation to reporting performance of the</t>
  </si>
  <si>
    <t>FINANCIAL ATTACHMENTS THE BOARD OPERATIONS GOVERNANCE STATEMENTS 6.34.2 Geographical segments 6.34.2 The Geographical segments operating results classified by geographical areas for the years ended December 31, 2023 and 2022 For the year ended December 31, 2023, the Bank and subsidiaries have total interest income on financial are assets that are measured at amortized cost and at FVOCI for the consolidated financial statements amounting The as follows results operating : classified by geographical areas for the years ended December 31, 2023 and 2022 to Baht 177,704 million and Baht 16,209 million, respectively and for the Bank’s financial statements are as follows : Million Baht CONSOLIDATED amounting to Baht 139,810 million and a</t>
  </si>
  <si>
    <t>BBL one report 2023.pdf</t>
  </si>
  <si>
    <t>IC CARING ETHICAL การสนั การสนับสนุนสินนสิเชื บสนุ อ่ เพื นเชื อ ่ ธุอ อ่ เพื ่ รธุกิรจกิยานยนต์ ไฟฟ้ จยานยนต์ าา ไฟฟ้ ในปี ในปี2566 การสนั 2566 บสนุนสินเชือ่ เพือ ่ ธุรกิจยานยนต์ไฟฟ้า Loans for EV Businesses in 2023 1. Investment in renewable energy. This includes, for Since 2022, the Bank has extended credit support with การสนั ในปี บสนุนสิน 2566 เชื อ่ เพืfor Loans Loans อ ่ ธุ รelectric for กิelectric จยานยนต์ ไฟฟ้า vehicle vehicle instance, investment related to products that support special interest rates to entrepreneurs investing in installing (Information as of the end of 2023) ในปี 2566 business entrepreneurs business entrepreneurs renewable energy and help reduce greenhouse gas, such solar rooftop power in their workpla</t>
  </si>
  <si>
    <t>CORPORATE FINANCIAL ATTACHMENTS THE BOARD OPERATIONS GOVERNANCE STATEMENTS Remark: * The person is an Executive Director but not an employee of the Bank. /1 Mr. Phornthep Phornprapha was appointed as the Chairman of the Board of Directors on February 23, 2023, and resigned from the Member of the Nomination and Remuneration Committee on March 20, 2023. /2 Mr. Deja Tulananda was appointed as the Vice Chairman of the Board of Directors on March 23, 2023. /3 Mr. Predee Daochai was appointed as an Independent Director on January 26, 2023, and a Member of the Nomination and Remuneration Committee on March 23, 2023. /4 Mr. Singh Tangtatswas was appointed as Vice Chairman of the Board of Executive Directors on October 26, 2023. /5 Ms. Nir</t>
  </si>
  <si>
    <t>MESSAGE FROM BE BE BE CUSTOMER BE BE THE BOARD RESILIENT RESPONSIBLE CENTRIC CARING ETHICAL Long-term Target Commitment Indicator 2023 Target 2023 Performance 2021-2023 1. Reduction of direct and • 7.5% decrease in Scope 1 • 48.48% increase in Scope 1 greenhouse gas • 7.5% decrease in Scope 1 indirect greenhouse gas and Scope 2 greenhouse emissions compared to 2020 (base year) and Scope 2 greenhouse emissions (Scope 1 and 2) gas emissions compared • 3.13% decrease in Scope 2 greenhouse gas gas emissions compared to 2020 (base year) emissions compared to 2020 (base year) to 2020 (base year) Environmental and Carbon</t>
  </si>
  <si>
    <t>MESSAGE FROM BE BE BE CUSTOMER BE BE THE BOARD RESILIENT RESPONSIBLE CENTRIC CARING ETHICAL Assurance Statement LRQA’s approach LRQA Independent Assurance Statement LRQA’s assurance engagements are carried out using Accountability’s AA1000AS v3 and our verification procedure. The following though tasks though were undertaken as part of the evidence gathering process for this assurance engagement: Relating to Bangkok Bank Public Company Limited’s Sustainability Report for the calendar year 2023 • Assessing BBL’s approach to stakeholder engagement to confirm that issues raised by stakeholders were captured</t>
  </si>
  <si>
    <t>pted the sustainability issues identified in the stakeholder engagement process. We are committed to supporting Thailand to achieve its Sustainable A Trusted Partner and Development Goals, carbon neutrality in 2050, and Net Zero in 2065, Reliable Close Friend as well as assisting customers to respond smoothly and promptly to challenges during the transition to a low carbon society and economy. To be the most trusted bank by doing business sustainably, Goal managing risk effectively, and considering the long-term benefits of stakeholders when making decisions to build a sustainable future for all parties involved. Sustainability Governance Structure To ensure that the Bank’s sustainability undertaking is clear and systematic, we ha</t>
  </si>
  <si>
    <t>BBL sus report 2024.pdf</t>
  </si>
  <si>
    <t>irect greenhouse gas greenhouse gas Scope 1 greenhouse gas Scope 1 and Scope 2 emissions (Scope 1 and emissions compared to emissions compared to greenhouse gas To build employee awareness of resource and Scope 2) 2020 (base year) 2020 (base year) emissions compared to energy conservation and to implement effective 2020 (base year) environmental and resource management • 10% decrease in Scope 2 • 5.87% decrease in system to reduce our environmental and carbon greenhouse gas Scope 2 greenhouse gas footprint, moving toward a green organization emissions compared to emissions compared to 2020 (base year) 2020 (base year) 2. Reduction of energy • 10% decrease compared • 11.72% decrease • 17.5% decrease consumption to 2020 (base year)</t>
  </si>
  <si>
    <t>managing roles in prescribing and reviewing the efficacy of the risk its relevant risk exposures and ensuring each risk remains 1) Economic Uncertainty management policy and system. They also define the risk within the approved limits and is in compliance with the The global and Thai economies currently face uncertainty management strategy and monitor and control the Bank’s overall risk management policy approved by the Board from several significant risk factors that impact economic risk to be at an appropriate level, in compliance with the risk of Directors, while the Risk Management Division is stability and business growth opportunities. The Bank must management policy approved by the Board of Directors. responsible for monit</t>
  </si>
  <si>
    <t>BBL one report 2024.pdf</t>
  </si>
  <si>
    <t>lization data as well as Total of electricity Total volume of carbon footprint data. We also conduct data verifications for key environmental and resource performance and consumption gasoline consumption data as well as Scope 1 and Scope 2 GHG emissions as disclosed in this Sustainability Report. The 414,795.03 116,287.12 data is verified by an external party registered with the Thailand Greenhouse Gas Management Organization (gigajoules) (gigajoules) (Public Organization) on an annual basis to ensure that the information disclosed by the Bank to the public is accurate and reliable in accordance with accepted standards. For additional details of the verified data, please see page 147. Note: Based on the Energy Content of Fuel Tabl</t>
  </si>
  <si>
    <t>p. 79</t>
  </si>
  <si>
    <t>Water withdrawal Based Targeting - Complete Contraction Approach. However, we believe that BBL’s future reports should also address financed - GRI 303-4: Water discharge emissions which are the most relevant category of Scope 3 emissions for financial institutions, i.e. they are the emissions linked - GRI 303-5: Water consumption to the investment and lending activities of financial institutions (Category 15 in the GHG Protocols list of Scope 3 (Corporate Value Chain Accounting). - GRI 305-1: Direct GHG emissions (Scope 1)2 • Responsiveness: BBL has established and implemented processes for responding to the concerns of various stakeholder groups - GRI 305-2: Energy indirect GHG emissions (Scope 2)2 especially when reporting perfo</t>
  </si>
  <si>
    <t>y. Saengthong Thani Tower), all operation support centers, 6. Greenhouse gases consist of Carbon Dioxide (CO2), Methane (CH4), Nitrous Oxide (N2O), Sulfur Hexafluoride (SF6) and Chlorofluorocarbons (CFCs). • GHG under Scope 1 consists of direct emissions that the Bank controls and monitors calculated from a. fuel consumption of back-up power generators, all branches and all ATM nationwide. Data from 2024, fire pumps and vehicles used for day-to-day operations, b. the volume of refrigerants leaking from the air-conditioning system and fire extinguisher reporting of Biogenic and Refrigerant R-22 was separated chemicals estimated from purchasing orders, and c. the volume of methane gas from septic tanks estimated from the number of</t>
  </si>
  <si>
    <t>p. 141</t>
  </si>
  <si>
    <t>MESSAGE FROM BUSINESS CORPORATE FINANCIAL ATTACHMENTS THE BOARD OPERATIONS GOVERNANCE STATEMENTS 6.7 Investments, net For the years ended December 31, 2024 and 2023, the Bank received dividends from equity investment securities designated at FVOCI that the Bank maintains in the consolidated financial 6.7.1 Investments as at December 31, 2024 and 2023 consisted of the following : statements, amounting to Baht 2,285 million and Baht 2,330 million and the Bank’s financial statements Million Baht amounting to Baht 2,211 million and Baht 2,228 million, respectively. CONSOLIDATED THE BANK 2024 2023 2024 2023 Amortized C</t>
  </si>
  <si>
    <t>p. 203</t>
  </si>
  <si>
    <t>MESSAGE FROM BUSINESS CORPORATE FINANCIAL ATTACHMENTS THE BOARD OPERATIONS GOVERNANCE STATEMENTS Bank's operational results to the Board of Directors on a Oversight Committee, and the Corporate Governance 8. Mr. Pichet Durongkaveroj* Executive Director regular basis. Committee. 9. Mr. Kobsak Pootrakool Executive Director 10. Ms. Niramarn Laisathit Executive Director The Chairman of the Board of Directors will preside over 7.3 Information about Remark: *Non-employee directors the Board of Directors meeting. If the Chairman of the Subcommittees Board of Directors is unable to attend the meeting, the Vice Authority and Responsibility Chairman wil</t>
  </si>
  <si>
    <t>MESSSAGE BE BE BE CUSTOMER BE BE FROM THE BOARD RESILIENT RESPONSIBLE CENTRIC CARING ETHICAL Commitment Indicator 2024 Target 2024 Performance 2026 Target Environmental and Carbon Footprint 1. Reduction of direct and • 10% decrease in Scope 1 • 14.46 % decrease in • 17.5% decrease in indirect greenhouse gas greenhouse gas Scope 1 greenhouse gas Scope 1 and Scope 2 emissions (Scope 1 and emissions compared to emissions compared to greenhouse gas To build employee awareness of resource and Scope 2) 2020 (base year) 2020 (base year) emissions compared to energy conservation and to implement effective 2020 (base year) environmental and</t>
  </si>
  <si>
    <t>MESSSAGE BE BE BE CUSTOMER BE BE FROM THE BOARD RESILIENT RESPONSIBLE CENTRIC CARING ETHICAL Assurance Statement LRQA’s approach LRQA Independent Assurance Statement LRQA’s assurance engagements are carried out using AccountAbility’s AA1000AS v3 and our verification procedure. The following tasks though were undertaken as part of the evidence gathering process for this assurance engagement: Relating to Bangkok Bank Public Company Limited’s Sustainability Report for the • Assessing BBL’s approach to stakeholder engagement to confirm that issues raised by stakeholders were captured correctly. We calendar yea</t>
  </si>
  <si>
    <t>Message Be Be Be Customer Be Be from the Board Resilient Responsible Centric Caring Ethical “We set targets to achieve Net Zero with our own operations (Scope 1 and 2) by 2035.”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t>
  </si>
  <si>
    <t>BBL sus report 2025.pdf</t>
  </si>
  <si>
    <t>y conservation and to implement an indirect greenhouse gas GHG emissions compared 1 GHG emissions compared GHG emissions compared e f fe c t i ve e nv i ro n m e nta l a n d re s o u rc e emissions (Scope 1 and to 2022 (base year) to 2022 (base year) to 2022 (base year) management system to reduce environmental Scope 2) • 7.5% decrease in Scope 2 • 12.50% decrease in Scope 2 • 12.5% decrease in Scope 2 impact and carbon footprint, moving toward a GHG emissions compared GHG emissions compared GHG emissions compared green organization. to 2022 (base year) to 2022 (base year) to 2022 (base year) 2. Reduction of energy • 7.5% decrease compared • 17.10% decrease compared • 12.5% decrease compared consumption to 2022 (base year)</t>
  </si>
  <si>
    <t>onds in May 2025. The transaction was the first sustainability-linked bond issuance in Thailand which set the near-term emissions reduction target to be validated in accordance with the Science Based Targets initiative (SBTi). Bangkok Bank Public Company Limited 24 Form 56-1 One Report 2025</t>
  </si>
  <si>
    <t>BBL one report 2025.pdf</t>
  </si>
  <si>
    <t>ation data as well as the carbon footprint data of the organization. We also conduct data verifications for key environmental and resource performance and consumption data as 2025 Target Total energy Electricity well as Scope 1, Scope 2 and Scope 3 GHG emissions as disclosed Scope consumption4 12,282.46 (megawatt-hours)5 in this Sustainability Report. The data is verified by an external party 1 (tonnes of carbon dioxide equivalent) (gigajoules) 106,123.33 registered with the Thailand Greenhouse Gas Management 2025 Target Organization (Public Organization) on an annual basis to ensure that 2025 Performance 544,824.03 Diesel fuel volume the information disclosed by the Bank to the public is accurate and 10,190.20 (gigajoules) for em</t>
  </si>
  <si>
    <t>per FTE 0.69 0.63 0.65 0.54 GHG Scope 2 emissions intensity Tonnes of CO2 equivalent per FTE 3.14 3.19 3.09 2.83 GHG Scope 1 and 2 emissions intensity Tonnes of CO2 equivalent per FTE 3.82 3.82 3.74 3.38 Other indirect (Scope 3) GHG emissions Tonnes of CO2 equivalent 1,512.28 1,940.06 2,032.86 2,332.04 GHG Scope 3 emissions Tonnes of CO2 equivalent 1,265 1,306 1,263.74 1,235.33 (Category 1 - Purchased goods and services) GHG Scope 3 emissions (Category 6 - Business travel) Tonnes of CO2 equivalent 247 634 769.12 1,096.71 Bangkok Bank Public Company Limited 137 Sustainability Report 2025</t>
  </si>
  <si>
    <t>essage from the Board Business Operations Corporate Governance Financial Statements Attachments (Singapore), Pictet Asset Management and Wellington Management, providing customers with comprehensive insights and diverse investment opportunities. • Organized 108 training and investment workshops via Bualuang Ventures Limited Wealth Management Academy with 10,691 participants, and partnered with Global Asset Managers, such as The venture capital industry and startup ecosystem in Highlights Fidelity Investments, to exchange profound knowledge Thailand in 2025 remain subdued, affected by significant • Collaborated with Bangkok Bank to support Thai SME and insights with the view to provide employees with external factors including glob</t>
  </si>
  <si>
    <t>Message Be Be Be Customer Be Be from the Board Resilient Responsible Centric Caring Ethical Corporate Governance Structure Board of Directors The Board of Directors is the Bank’s highest governing body and is responsible for establishing and reviewing the Bank’s vision, mission, policies, objectives, business direction, and both short-term and long-term business strategies. The Board is also responsible for overseeing the Bank’s operations to ensure compliance with applicable laws, the Bank’s regulations and resolutions of shareholders’ meetings. Committees Various committees are appointed by the Board of Directors to review, provide r</t>
  </si>
  <si>
    <t>Message Be Be Be Customer Be Be from the Board Resilient Responsible Centric Caring Ethical Commitment Indicator 2025 Target 2025 Performance 2027 Target Environmental Impact and Carbon Footprint Reduction2 To build employee awareness of resource and 1. Reduction of direct and • 7.5% decrease in Scope 1 • 23.26 % decrease in Scope • 12.5% decrease in Scope 1 energy conservation and to implement an indirect greenhouse gas GHG emissions compared 1 GHG emissions compared GHG emissions compared e f fe c t i ve e nv i ro n m e nta l a n d re s o u rc e emissions (Scope 1 and to 2022 (base year) to 2022 (base year) to 2022 (base yea</t>
  </si>
  <si>
    <t>Message Be Be Be Customer Be Be from the Board Resilient Responsible Centric Caring Ethical Assurance Statement LRQA Independent Assurance Statement LRQA’s Approach LRQA’s assurance engagements are carried out using AccountAbility’s AA1000AS v3 and our verification procedure. The following tasks though were undertaken as part of the evidence gathering process for this assurance engagement: Relating to Bangkok Bank Public Company Limited’s Sustainability Report for the • Assessing BBL’s approach to stakeholder engagement to confirm that issues raised by stakeholders were captured correctly. We Calendar Yea</t>
  </si>
  <si>
    <t>p. 154</t>
  </si>
  <si>
    <t>environment footprint in our daily operati on and continuing to enhance green revenue from our products and solutions reflect our long-term potentials for adaptation and mitigation the impact of climate change. Overall Net-Zero Target Delta Electronics commits to reach net-zero greenhouse gas emissions across the value chain by 2050 from a 2021 base year. Near-Term Targets Delta Electronics commits to reduce absolute scope 1 and 2 GHG emissions 90% by 2030 from a 2021 base year. Delta Electronics also commits to increase annual sourcing of renewable electricity from 55% in 2021 to 100% by 2030. Delta Electronics further commits to reducing absolute scope 3 GHG emissions 25% within the same timeframe. Long-Term Targets Delta Elect</t>
  </si>
  <si>
    <t>DELTA sus report 2023.pdf</t>
  </si>
  <si>
    <t>p. 71</t>
  </si>
  <si>
    <t>Carbon Neutral Initiatives by 2030 The Thailand Voluntary Emission Reduction Program (T -VER) was launched in 2013 by the Thailand Greenhouse Gas Management Organization (TGO) as a project -based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 -VER since 2014. There is a total of 9 projects that had been</t>
  </si>
  <si>
    <t>ons and validates governance (ESG) performance and continued claims for manufacturers. UL Environment’s auditing Delta is one of the 100 leading companies chosen dedication to reducing its carbon footprint. and analysis validated the environmental claim for the ESG100:2021 list from among 824 SET and “Delta Electronics has achieved ero Waste to The joint initiative aims to recognize corporate MAI listed companies assessed this year by the Landfill Platinum Operations, 100% diversion”- citizens across the Asia Pacific region that are Thaipat Institute along with property funds and positioning Delta Thailand as a top-performing contributing substantially to mankind’s sustainability Real Estate Investment Trusts (REITs). sustainable</t>
  </si>
  <si>
    <t>vered subsidiaries India and Slovakia in 2017-2021 which the GHG inventory reports for each location are issued retrospectively. For the full coverage of manufacturing sites (Thailand/India/Slovakia), direct emissions ( Scope 1) of 2022 were 2,113.75 tons of CO2e with its intensity equals to 0.77 tons CO2e/MUSD, and indirect emissions (Scope 2) were separate into 2 methods the first method is Scope 2 Location based that emits 62,351.76 tons CO2e with its intensity equals to 22.61 tons CO2e/MUSD. The second method is Scope 2 Market based that emits 60,452.14 tons CO2e with its intensity equals to 21.92 tons CO2e/MUSD. The GHG intensity (Scope 1 &amp; 2) for the full coverage of manufacturing sites resulted in 2022 was 22.69 tons CO2e/</t>
  </si>
  <si>
    <t>which in the organization of contract between two parties for the sale and purcha se of energy bundled with attributes about the energy generation, or for unbundled attribute claims such as I-REC. Delta included our GHG scope 3, which occurred as a consequence of the category 3 and 4, the indirect emission from transportation, products and services used by organization. From our report in 2016 to expand responsibility throughout our supply chain and fully covered subsidiaries India and Slovakia in 2017-2021 which the GHG inventory reports for each location are issued retrospectively. For the full coverage of manufacturing sites (Thailand/India/Slovakia), direct emissions ( Scope 1) of 2022 were 2,113.75 tons of CO2e with its inten</t>
  </si>
  <si>
    <t>Million Million Baht) Baht) Consolidated Consolidated Separate Separate Consolidated Separate financial financial statements financial statements financial statements statements financial financial statements statements 2022 2022 2021 2021 2022 2022 2021 2021 2022 2021 2022 2021 Beginning Beginning balance balance (156) (156) (129) (129) (38) (38) (32) (32) Beginning balance (156) (129) (38) (32) Provision Provision for for expected expected credit credit losses losses (53) (30) (46) (17) Provision for expected credit losses (53) (53) (30) (30) (46) (46) (17) (17) Amount Amount written written off off - - - - - - 11 11 Amount written off - - - 11 Reversal Reversal 15 15 10 10 - - -- Reversal 15 10 - - Translation Translation adjus</t>
  </si>
  <si>
    <t>DELTA one report 2022.pdf</t>
  </si>
  <si>
    <t>at 31 December 2022, the Group had the following significant outstanding letters of guarantee required in the ordinary course of their businesses: 31.3.1 Outstanding letters of guarantee totaling approximately Baht 389 million (2021: Baht 380 million) have been issued by banks to meet requirements of the Company (including a letter of guarantee for approximately Baht 335 million (2021: Baht 335 million) issued by banks to meet obligations of the Company to the Revenue Department in relation to the tax assessment mentioned in Note 31.4.1 to the financial statements). 31.3.2 Outstanding letters of guarantee for totals of approximately INR 1,341 million or approximately Baht 561 million, EUR 0.5 million or approximately Baht 20 mill</t>
  </si>
  <si>
    <t>Board of Directors Performance Assessment Board of Directors’ Assessment Result The Board arranges a yearly self-assessment for the Board of Directors as follows. 1. Group self-assessment for the entire Board of Directors 100.0% 100.0% Board of Group Individual 2. Individual self-assessment of the Board of Directors members directors' 99.0% Group and 98.6% 98.3% 98.3% Individual self- 98.0% 98.0% 97.8% Areas of assessment include Board duties, Board structural composition and individual member’s qualifications, job</t>
  </si>
  <si>
    <t>Consolidated Financial Information unit 2022 2021 2020 Finanial Data and Profitability Ratios (Continued) Gross Profit million baht 27,940 17,358 15,119 Gross Profit Margin (%) 23.57% 20.59% 23.92% Operating Expense (include Research and Development) million baht 13,447 11,435 8,762 Operating Expenses (include Research and Development) to sales (%) 11.34% 13.56% 13.86% Operating Profit Margin (%) 12.22% 7.02% 10.06% Other Income to Total Revenues (%) 1.11% 1.70% 1.42% Net Profit million baht 15,345 6,699 7,102 change of Net Profit % (%) 129.06% (5.67%) 139.92% Net Profit Margin (%) 12.94% 7.94% 11.24% Net Profit to Total Revenues (%) 12.80% 7.81% 11.08% Return on Equity (%) 31.94% 16.9</t>
  </si>
  <si>
    <t>munications, with a potential conflict of interest. An exception finance and accounting or any other areas, as the would be if he/she has no such status for at least board deems appropriate. two years before becoming an independent director. 4. Able to participate in all Board meetings and Details of business relations are summarized as shareholders’ meetings (except in the case of an follows : emergency) . 4.1 Professional advisor 5. Other qualifications that the Board may later 4.1.1 An auditor for any related case. consider appropriate or are required by law. 4.1.2 Advisor (such as legal advisor, financial advisor, appraiser) for transactions with Qualifications of Independent Director a value of over 2 million Baht per year. I</t>
  </si>
  <si>
    <t>p. 121</t>
  </si>
  <si>
    <t>oration project launched on Delta's 50th anniversary. In the press conference today in Taipei, Delta’s representatives also shared first-hand observations from COP27. Do more with less Carbon Neutral Initiatives by 2030 Net ZERO Target Since climate change threatens all industries with far-reaching The Thailand Voluntary Emission Reduction Program (T-VER) Overall Net-Zero Target Delta Electronics commits to impacts on power system design, markets and operations, Delta was launched in 2013 by the Thailand Greenhouse Gas reach net-zero greenhouse gas emissions across the realizes our potential to mitigate climate change impact by Management Organization (TGO) as a project-based value chain by 2050 from a 2021 base year. Near- reduci</t>
  </si>
  <si>
    <t>DELTA sus report 2024.pdf</t>
  </si>
  <si>
    <t>ation is Delta practical way to establish close linkage to local 100% 50% 51% partners, improve social and economic development in the community 49% 90% 47% and reduce the environmental footprint of our operation. Delta target to 45% 80% 44% 40% have one-third (35%) of total suppliers localized by 2023. In 2023, 40% 70% of direct materials had purchased locally for our major production sites 60% in Thailand India, Slovakia and surrounding countries of these sites. 30% 50% Regarding these 3 major procurement practices, either risk as nature of 26% 40% business process or emerging risk in supply chain can be effectively 24% 48% 20% 22% 22% 30% 48% 21% mitigated. With smooth and collaborative supply chain, agile action to 20% 20% 20%</t>
  </si>
  <si>
    <t>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t>
  </si>
  <si>
    <t>DELTA one report 2023.pdf</t>
  </si>
  <si>
    <t>se year 2014. Which the Scope covers both direct emission from operation and indirect emissions from purchased electricity. As a results of GHG Emission of Thailand, India, and Slovakia site in 2023, the direct emission scope 1 was 2654.28 tons CO2e, indirect emission scope 2 location base was 73,417.01 tons CO2e while market base was 46,691.35 tons CO2e and indirect scope 3 was 171,817.25 tons CO2e. Which the GHG emission intensity of Scope 1, scope 2 market based and scope 3 were 0.72, 12.71 and 46.76 tons CO2e/MUSD, respectively. Since 2022, Delta Thailand starts purchasing I-REC to reduce the GHG emission, as shown in scope 2 market based. In 2023, the total amount of 26,725.66 tons CO2e was purchase via I-REC which reduce the</t>
  </si>
  <si>
    <t>p. 56</t>
  </si>
  <si>
    <t>on of Thailand, India, and Slovakia site in 2023, the direct emission scope 1 was 2654.28 tons CO2e, indirect emission scope 2 location base was 73,417.01 tons CO2e while market base was 46,691.35 tons CO2e and indirect scope 3 was 171,817.25 tons CO2e. Which the GHG emission intensity of Scope 1, scope 2 market based and scope 3 were 0.72, 12.71 and 46.76 tons CO2e/MUSD, respectively. Since 2022, Delta Thailand starts purchasing I-REC to reduce the GHG emission, as shown in scope 2 market based. In 2023, the total amount of 26,725.66 tons CO2e was purchase via I-REC which reduce the trend of GHG emission intensity. To achieve the short term 56.6% GHG intensity reduction target, the RE100 action plan was defined to reduce GHG emis</t>
  </si>
  <si>
    <t>ilanthropic Spendings (million Baht) 18,744 14,601 21,571 32,932 44,630 - 0.0% • Global growth is expected to slow in 2024 with geopolitical risks and financial stress 2019 2020 2021 2022 2023 2019 2020 2021 2022 2023 ◼ Scope 1 ◼ Scope 2 ◼ Scope 3 Scope 1 + 2 ◼ Recycle Material ◼ Virgin Material Recycle input Material % related to elevated real interest rates and inflation continuing. Despite this, Delta still sees overall long-term demand for e-mobility products due to the continued EV trend as well as essential products and energy-efficient solutions for the Non-Renewable and renewable energy Philanthropic Spendings datacenter, telecom power and EV-charging businesses. consumption (MWh) (Million Baht) 150 ,000.00 For more inform</t>
  </si>
  <si>
    <t>of the Company’s Board of Directors passed a resolution to increase the Company’s investment in Delta Electronics India Manufacturing Private Limited by USD 26 million, or approximately Baht 938 million, to support the capital expenditures and enhance the cash flow situation. The Company made the additional investment in the third quarter during the current year. The above additional investment had no impact on the investment structure of the Group. 11.2.2 Subsidiaries indirectly owned by the Company a) Establishment of new subsidiary On 15 February 2023, a meeting of the Company’s Board of Directors passed a resolution to proceed with the incorporation of a subsidiary, Delta Electronics (Hungary) Kft., to engage in the manufactu</t>
  </si>
  <si>
    <t>2024 Corporate Sustainable Responsible Eco-Friendly Approach and Introduction Better Together Sustainable Development Report Governance Development Supply Chain Operation Appendix Board of Directors In 2023, during the Annual General Meeting held electronically, the shareholders approved the appointment of a female executive director with experience in 2 Non-executive directors 1-tier 2 9 international business management and research and development. Additionally, a male director with expertise in the hard industry and law and regulatory compliance was also appointed. The company consulted with shareholders to consider and 4 Executive directors approve these appointments to replace director</t>
  </si>
  <si>
    <t>p. 18</t>
  </si>
  <si>
    <t>al suppliers Tier-1 supplier Critical tier 1 suppliers source suppliers, mold suppliers or similar) and type 3 (non- substitutable suppliers and newly introduce suppliers) competence, Percentage of Supplier localization Progress Geographic spread of our spendings for raw material Delta continues to adopt purchasing localization is highly required. Localization is Delta practical way to establish close linkage to local 100% 50% 51% partners, improve social and economic development in the community 49% 90% 47% and reduce the environmental footprint of our operation. Delta target to 45% 80% 44% 40% have one-third (35%) of total suppliers localized by 2023. In 2023, 40% 70% of direct materials had purchased locally for our major produ</t>
  </si>
  <si>
    <t>2024 Corporate Sustainable Responsible Eco-Friendly Approach and Introduction Better Together Sustainable Development Report Governance Development Supply Chain Operation Appendix Appendix LRQA Independent Assurance Statement Relating to Delta Electronics (Thailand) Public Company Limited’s Sustainability Report for the calendar 2023 This Assurance Statement has been prepared for Delta Electronics (Thailand) Public Company Limited in accordance with our contract but is intended for the readers of this Report. Terms of engagement LRQA (Thailand) Ltd. was commissioned by Delta Electronics (Thailand) Public Company Limited (DELTA) to provide independent assurance on its Sustainability Report 2023 (the Report) against th</t>
  </si>
  <si>
    <t>of recycled material used in supply chain - End modern slavery in all its forms including forced labor, human trafficking, and the worst forms of child labor. Medium Medium Medium Medium 3. Automation and Workforce 2030 2050 - 40 training hours/ head/ year High Low ● ● ● - ● - - ● ● P S I R - Number of new hired in technology sector Transition - 50% women in STEM-related positions Medium 4. Waste Management and Circular 2025 2050 - 30% of recycled material used for our raw material High ● ● ● ● ● - - ● ● A L I R - 0 new biodiversity depreciation resulting from e-waste. Economy production - To limit global warming to 1.5°C, greenhouse Invaluable Invaluable 5. Carbon Footprint and Emission 2050 2050 90% GHG emission reduction (Scope</t>
  </si>
  <si>
    <t>DELTA sus report 2025.pdf</t>
  </si>
  <si>
    <t>t Report Governance Development Supply Chain Operation Appendix Our Colleagues Unit Not Unit Not Our People Male Female Other Total Our People Male Female Other Total Disclose Disclose Rate of New Employees by level 15.5% 10.9% 0.0% 0.0% 11.8% Rate of Employees turnover by age 10.4% 9.4% 0.0% 0.0% 9.4% - Executives (level P&amp;M) 4.7% 7.3% 0.0% 0.0% 5.2 - Under 18 years old 0.0% 0.0% 0.0% 0.0% 0.0% - Middle Management (level S1-S5) % 3.3% 6.5% 0.0% 0.0% 4.1 - 18-29 years old % 17.0% 18.3% 0.0% 0.0% 17.8% - Senior and Operative (level A1-A7) 8.9% 7.4% 0.0% 0.0% 7.1 - 30-55 years old 6.3% 2.7% 0.0% 0.0% 3.6% - Production operators 27.6% 11.4% 0.0% 0.0% 13.8 - Over 55 years old 12.3% 20.0% 0.0% 0.0% 14.4% New Employees by Function 1,046</t>
  </si>
  <si>
    <t>p. 120</t>
  </si>
  <si>
    <t>tnerships with Challenge,” sharing its vision and strategic approach to sustainability. energy providers and industry leaders to unlock even more green energy solutions in Thailand.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t>
  </si>
  <si>
    <t>DELTA one report 2024.pdf</t>
  </si>
  <si>
    <t>gic approach to sustainability. energy providers and industry leaders to unlock even more green energy solutions in Thailand.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t>
  </si>
  <si>
    <t>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t>
  </si>
  <si>
    <t>the Company’s Board of Directors passed a resolution to increase the Company’s investment in Delta Electronics India Manufacturing Private Limited by USD 5 million, or approximately Baht 184 million, to cover machinery capital expenditures. The Company made the additional investment in the second quarter during the current year. - On 25 October 2024, a meeting of the Company’s Board of Directors passed a resolution to increase the Company’s investment in DET International Holding B.V. by USD 5 million, or approximately Baht 172 million, to support the expansion of research and development activities. The Company made the additional investment in the fourth quarter during the current year. The above additional investment had no im</t>
  </si>
  <si>
    <t>p. 166</t>
  </si>
  <si>
    <t>• To arrange for the preparation and submission of the audited • To act as the Chairman of the Board of Directors’ meeting balance sheet and profit/loss statement to the shareholders’ and the Shareholders’ meeting. meeting for its consideration and approval. • To have a casting vote in case the Board of Directors’ meeting • To monitor the adequacy and timeliness of the company’s has a tie vote. disclosure of information. • To promote a constructive relation between the Board and • To authorize any other person to perform any action on management. behalf of the Board of Directors under its supervision, or to</t>
  </si>
  <si>
    <t>2025 Corporate Sustainable Responsible Eco-Friendly Approach and Introduction Better Together Sustainable Development Report Governance Development Supply Chain Operation Appendix Appendix : Independent Assurance Statement Note: The extent of evidence-gathering for a moderate level assurance engagement is less than for a high-level assurance engagement. A moderate level assurance engagements focus on aggregated data rather than physically checking source data at sites. Consequently, the level of assurance obtained in a moderate level assurance engagement is substantially lower than the assurance that would have been obtained in a high-level assurance engagement been performed. LRQA’s approach LRQA’s assurance enga</t>
  </si>
  <si>
    <t>p. 190</t>
  </si>
  <si>
    <t>Details of setting net-zero greenhouse gas emissions targets Greenhouse gas Short-term Long-term Base year(s) Certification emission scope target year target year Scope 3 2021 : 2030 : Reduced 2050 : Reduced • Thailand Greenhouse Gas Greenhouse gas by 25% in by 90% in Management Organization (TGO) emissions comparison to comparison to : None 149,858.68 tCO2 the base year the base year • Science-based Targets (SBTi) e : Approve Scope 1-2 2021 : 2030 : Reduced 2050 : Reduced • Thailand Greenhouse Gas Greenhouse gas by 90% in by 90% in</t>
  </si>
  <si>
    <t>DELTA one report 2025.pdf</t>
  </si>
  <si>
    <t>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Part 1 Business Operations and Performance 75 #MARKER:PART_1</t>
  </si>
  <si>
    <t>2050 : Reduced • Thailand Greenhouse Gas Greenhouse gas by 25% in by 90% in Management Organization (TGO) emissions comparison to comparison to : None 149,858.68 tCO2 the base year the base year • Science-based Targets (SBTi) e : Approve Scope 1-2 2021 : 2030 : Reduced 2050 : Reduced • Thailand Greenhouse Gas Greenhouse gas by 90% in by 90% in Management Organization (TGO) emissions comparison to comparison to : None 54,763.63 tCO2e the base year the base year • Science-based Targets (SBTi) : Approve Setting carbon neutrality targets Details of setting carbon neutrality targets Greenhouse gas emission Base year(s) Target year(s) Certification scope Scope 1-2 2021 : Greenhouse gas 2030 : Reduced by 90% • other emissions 54,763.63 t</t>
  </si>
  <si>
    <t>Greenhouse gas management : Corporate greenhouse gas emission 2023 2024 2025 Total greenhouse gas emissions (Metric 232,112.07 193,982.66 351,568.89 tonnes of carbon dioxide equivalent) Total greenhouse gas emissions - Scope 1 ( 3,003.77 2,911.93 2,571.15 Metric tonnes of carbon dioxide equivalent) Total greenhouse gas emissions - Scope 2 ( 57,291.05 49,288.19 34,846.82 Metric tonnes of carbon dioxide equivalent) Total greenhouse gas emissions - Scope 3 ( 171,817.25 141,782.54 314,150.92 Metric tonnes of carbon dioxide equivalent) Greenhouse gas management: Verification of the company's greenhouse gas emissions over the past year Part 1 Business Operations and Performance 76 #MARKER:PART_1</t>
  </si>
  <si>
    <t>Details of setting net-zero greenhouse gas emissions targets Greenhouse gas Short-term Long-term Base year(s) Certification emission scope target year target year Scope 3 2021 : 2030 : Reduced 2050 : Reduced • Thailand Greenhouse Gas Greenhouse gas by 25% in by 90% in Management Organization (TGO) emissions comparison to comparison to : None 149,858.68 tCO2 the base year the base year • Science-based Targets (SBTi) e : Approve Scope 1-2 2021 : 2030 : Reduced 2050 : Reduced • Thailand Greenhouse Gas Greenhouse gas by 90% in by 90% in Management Organization (TGO) emissions comparison to comparison to : None 54,763.63 tCO2e the base year the base year • Science-based Targets (</t>
  </si>
  <si>
    <t>dging policy leading to a gain on exchange this year. Source : Bank of Thailand Cost of Sales and Expenses Cost of Sales In 2025, cost of sales accounted for 72.9% of total sales, compare to 75.4% and 77.1% for 2024 and 2023 respectively, In 2025 Gross profit margin posted an improvement Y-o-Y supported by a strong sales growth in healthy-margin products, especially the power electronics for custom designed data centers power system supporting intensive AI computing. Selling and Administrative Expenses Selling and administrative expenses (including research and development) in 2025, rose by 20.5% and 76.2% from 2024 and 2023, respectively due mainly to higher selling expenses from customs duties following the U.S. administration b</t>
  </si>
  <si>
    <t>p. 109</t>
  </si>
  <si>
    <t>b) Additional investment in subsidiary companies - On 3 December 2024, a meeting of the Company’s Board of Directors passed a resolution to increase the Company’s investment in DET International Holding B.V. by USD 5 million, or approximately Baht 171 million, to enable the latter to invest in Delta Electronics (Automotive) Americas Inc. to support the expansion of research and development activities. The Company made the additional investment in the second quarter during the current year. - On 14 February 2025, a meeting of the</t>
  </si>
  <si>
    <t>p. 313</t>
  </si>
  <si>
    <t>and approve the selected candidate by majority votes of the board meeting. After selection, the Board shall nominate such a candidate to the shareholders’ meeting for approval. Determination of director remuneration The Board of Directors has assigned the Nomination and Compensation Committee to determine and propose the compensation of directors and sub-committee members to ensure that the compensation is transparent, in line with the strategic plan and long-term goals of the company. The compensation for directors and sub-committee requires approval from the shareholders' meeting. The following are some key guidelines: 1 Compensation package must be reasonable in order to attract and retain competent directors. Major factors to</t>
  </si>
  <si>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t>
  </si>
  <si>
    <t>ointed director to replace the ex-director First appointment List of directors Position Skills and expertise date of director 1. Mrs. Saowanee Kamolbutr Director (Non-executive 7 Jun 2024 Accounting, Finance, directors, Independent Audit, Internal Control, director) Public Administration Selection of independent directors Criteria for selecting independent directors Qualifications of Independent Director Independent directors must be independent from the management and major shareholders. Qualifications of the company’s independent directors (ID) have been consistent and stricter than the requirements set by the Office of Securities and Exchange Commission as follows: 1. Not holding shares exceeding 0.5% of the total voting right</t>
  </si>
  <si>
    <t>p. 180</t>
  </si>
  <si>
    <t>ons in each related risks and climate-related risks strategy and planning. country to develop opportunities that align and opportunities. climate change with the Group’s financial management approaches. risk management.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t>
  </si>
  <si>
    <t>BDMS sus report 2022.pdf</t>
  </si>
  <si>
    <t>BANGKOK DUSIT MEDICAL SERVICES | 101 2022 Consolidated Financial Summary (Unit : THB mm) Operating Income 2022 2021 % Chg Revenues from hospital operations 88,535 71,541 24% Revenue from sales of goods 3,399 2,910 17% Other income 1,034 1,263 (18)% Total Operating Income 92,968 75,714 23% In 2022, total operating income were Baht 92,968 million, an increase of Baht 17,254 million or increased by 23% YoY, primarily due to • Revenues from hospital operations were Baht 88,535 million, an increase of Baht 16,993 million or increased by 24% YoY. Key drivers were from good revenues growth of 14% YoY from Thai patients and 69% YoY from</t>
  </si>
  <si>
    <t>BDMS one report 2022(2).pdf</t>
  </si>
  <si>
    <t>n the same industry. Besides, the remuneration must The Company has the policy to support disclosure of be in line with the Company’s operating result and must information and business transactions to ensure that the be approved at the shareholders’ meeting. The structure shareholders shall have a clear understanding of the of the remuneration for the Board of Directors and the Company’s business operations. The Company is determined Sub-Committees comprises of: to create equality among every group of shareholders, 1. Director’s allowance which shall be allocated according whether they may be major shareholders, minor shareholders, to business performance of each year and shall be institutional investors or foreign shareholders. E</t>
  </si>
  <si>
    <t>p. 127</t>
  </si>
  <si>
    <t>Sustainability Report 2022 158 Bangkok Dusit Medical Services PCL (BDMS) Environmental Performance GRI Performance Unit 2019 2020 2021 2022 Standard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Tons CO2eq 100,090.45 96,433.36 95,936.05 208,852.40 emissions 305-2 Gross market-based energy indirect (Scope 2) GHG Tons CO2eq 100,090.45 96,433.36 95,936.05 208,852.40 emissions* GHG Emissions Intensity Tons CO2eq per Million Bath 1.</t>
  </si>
  <si>
    <t>p. 160</t>
  </si>
  <si>
    <t>of the Board of Directors shareholders and stakeholders and also to ensure the The Board of Directors has an approval authority on Company’s compliance with good practice. various matters of the Company according to the scope 3. Directors shall attend each shareholders’ meeting, of authority as stipulated by law and the Company’s especially directors appointed as a member of the Audit regulations, the charter of the Board of Directors and the Committee, to help answer any questions and explain resolution of the shareholders’ meeting. This also matters raised by the shareholders as well as acknowledge encompasses the speciﬁcation and review of visions, issues and suggestions from these shareholders. missions, strategies and operati</t>
  </si>
  <si>
    <t>Governance 87 The satisfaction survey rates in 2022 increased or Patient Perception of Service Behaviour presented at 92% compared with the target of 86%, in “Always” Category marking the score at the 95th percentile compared with (% Top Box Score) in 2019-2022 4,442 hospitals in the U.S.A. as reported by HCAHPS 100 Score. BDMS monitors the Patient’s Perceptions of 89 91 92 90 87 Service Behavior at each customer touch point (Score 1 86 80 79 79 = Never, Score 4 = Always) with clear criteria and displays 78 the results in percentages comparable with internation</t>
  </si>
  <si>
    <t>p. 89</t>
  </si>
  <si>
    <t>22 were Baht 47,830 million, increased by 18% from 31 December 2021 due mainly to an increase in liabilities under lease agreements of Baht 4,407 million from long-term land lease of the BDMS Silver Wellness &amp; Residence project together with an increase of long-term loans from ﬁnancial institutions of Baht 3,000 million and trade &amp; other payables of Baht 1,141 million netted with decrease in debenture of Baht 3,098 million. Total consolidated shareholders’ equity as of 31 December 2022 was Baht 93,713 million, increased by 7% from 31 December 2021 due mainly from net proﬁt during the year. Liquidity and Capital Management (Unit : THB mm) Cash Flow 2022 Net cash from operating activities 20,266 Net cash used in investing activities</t>
  </si>
  <si>
    <t>56-1 ONE REPORT 2022 | 120 6 Moreover, the Board of Directors has supervised the management to act efﬁciently under the established policies to ascertain that the Company’s operations are transparent, ethical and abide by governing laws and regulations. 6.1.1 Policies and Guidelines of the Board of Directors Corporate The Company has speciﬁed the policies and guidelines of the Board of Directors in which they must strictly adhere to in order to ensure efﬁcient business operations of the Governance organization while emphasizing on excellent management and g</t>
  </si>
  <si>
    <t>p. 122</t>
  </si>
  <si>
    <t>Governance 87 The satisfaction survey rates in 2022 increased or Patient Perception of Service Behaviour presented at 92% compared with the target of 86%, in “Always” Category marking the score at the 95th percentile compared with (% Top Box Score) in 2019-2022 4,442 hospitals in the U.S.A. as reported by HCAHPS 100 Score. BDMS monitors the Patient’s Perceptions of 89 91 92 90 87 Service Behavior at each customer touch point (Score 1 86 80 79 79 = Never, Score 4 = Always) with clear criteria and displays 78 the results in percentages comparable with international 70 standards. The results for 2022 are as follows 0 2019 2020 2021 2022 BDMS introduced ne</t>
  </si>
  <si>
    <t>s of 31 December 2022, there were 17 directors in total, consisting of 8 executive directors (equivalent to 47.06 percent of all directors), 2 non-executive directors (equivalent to 11.76 percent of all directors) and 7 independent directors (equivalent to 41.18 percent of all directors) Deﬁnition Executive Directors Executive directors are directors who are involved full-time with the management and receive monthly compensation from the Company in a form of salary or other compensations as identiﬁed in the Company’s regulations or beneﬁt plan. Non-executive Directors Non-executive directors are directors who are not involved with full-time management of the Company nor they receive compensation in a form of salary. However, these</t>
  </si>
  <si>
    <t>p. 143</t>
  </si>
  <si>
    <t>impact each year. BDMS realizes this problem and hopes to become one of the organizations minimizing carbon dioxide emission which will ultimately lead to a low carbon society as well as establishes the plan to become a net zero emission organization. Performance on the Environment Year 2022 BDMS aims to achieve a net zero emission by 2050 while reducing the greenhouse gas (Scope 1 and Scope 2) of at least 30 percent by 2030, compared to the base year 2022. To achieve this end, all BDMS hospitals and subsidiaries will successfully employ the renewable energy by 2030 to increase the ratio of renewable energy consumption Year 2030 and minimize the use of non-renewable energy, all of which are considered one of the environmental prac</t>
  </si>
  <si>
    <t>BDMS one report 2023(2).pdf</t>
  </si>
  <si>
    <t>In 2023, total operating income were Baht 102,110 million, an increase of Baht 9,143 million or increased by 10% YoY, primarily due to • Revenues from hospital operations were Baht 97,077 million, an increase of Baht 8,542 million or increased by 10% YoY mainly from growth of COE of 11% YoY together with an increase in international patient revenues of 23% YoY, driven mainly by an increase of patients from Qatar 85% YoY, China 45% YoY and UAE 43% YoY. Moreover, Thai patient revenues grew 6% YoY despite additional revenues related to COVID-19 last year. If excluding COVID-19 revenue, which contributed 10% of hospital revenue</t>
  </si>
  <si>
    <t>leading companies listed on the Stock Exchange of Thailand as well as those companies of a similar size within the same industry. Besides, the remuneration must be in line with the Company’s operating result and must be approved at the shareholders’ meeting. The structure of the remuneration for the Board of Directors and the Sub-Committee comprises of: 1. Director’s allowance which shall be allocated according to business performance of each year and shall be approved by the shareholders’ meeting and; 2. Meeting allowance in which the director and the Sub-Committee will be paid at the rate approved by the shareholders’ meeting and will be based on their actual meeting attendance. 6.1.2 Policies and Treatment of Shareholders and S</t>
  </si>
  <si>
    <t>p. 116</t>
  </si>
  <si>
    <t>formance Dashboard Greenhouse Gas Emissions 2023 ton CO2eq / Million Baht 0.3 3 2.61 Million ton CO2eq 0.25 2.5 0.24 0.2 0.18 1.8 2 0.15 1.46 1.36 1.5 0.1 0.1 15.69% 0.1 1 Greenhouse Gas 0.05 0.5 Emissions per Scope 0 0 Scope 1 15.69% 2020 2021 2022 2023 84.31% Scope 2 84.31% Million ton CO2eq ton CO2eq / Million Baht 184,209.73 Scope 1 tons CO2eq Scope 2 1.80 Greenhouse Gas Emissions Intensity tons CO2eq per million Baht Energy Management 2023 2 25 35,000 1.97 30,856.44 20 30,000 GJ/Million Baht 1.5 19.25 1.33 26,047.88 Million GJ 15 25,000 1 13.03 9.81 9.25 10 20,000 GJ 0.5 0.7 0.7 15,000 5 10,000 6,792.38 0 0 5,000 2020 2021 2022 2023 2,753.77 0 Million GJ GJ/Million Baht 2020 2021 2022 2023 Total Energy Consumption 1.33 Millio</t>
  </si>
  <si>
    <t>BDMS sus report 2023.pdf</t>
  </si>
  <si>
    <t>red that this goodwill is not impaired. Other assets of Baht 6,982 million mainly consisted of (1) intangible assets which mainly were computer software of Baht 1,837 million (2) other current ﬁnancial assets which were investment in ﬁxed deposits and mutual funds of Baht 1,672 million, and (3) other non-current ﬁnancial assets which were investment in equity and debt instruments of Baht 1,070 million. (THB mm) Liabilities and Equity Dec 23 Dec 22 %Chg Short-term loan from ﬁnancial institutions - 500 n.a. Trade &amp; Other payables 6,901 6,176 12% Accrued expenses 5,875 5,426 8% Debentures * 6,499 11,498 (43)% Long-term loans * 4,000 4,000 0% Liabilities under lease agreements * 7,635 7,564 1% Other liabilities 13,814 12,667 9% Total</t>
  </si>
  <si>
    <t>/ 135 investment plan, policies of the organization as well as follow up and evaluate operation results to be in line with the established plan. Scope of Duties and Responsibilities of the Chairman of the Board of Directors 1. Act as chairman of the Board of Directors’ meetings and shareholders’ meetings. 2. Conduct the Board meetings conform to the Articles of Association as well as provide an opportunity and encourage the directors to express their opinions independently. 3. Encourage and promote the directors to perform their duties to the best of their ability within the scope of deﬁned duties and responsibilities in accordance with good corporate governance principle. 4. Supervise and follow up the performance</t>
  </si>
  <si>
    <t>Bangkok Dusit Medical Services PCL (BDMS) Independent Assurance Statement Introduction and Engagement Bangkok Dusit Medical Services Public Company Limited (hereafter ‘BDMS’) commissioned TÜV NORD (Thailand) Ltd. (hereafter ‘TUVN’) for Sustainability Assurance Engagement. TUV NORD provide independent assurance on BDMS’s sustainability information, (hereinafter ‘the Report’), for the applied reporting period for the calendar year 2023. This assurance engagement was conducted against the Global Reporting Initiative Standards a limited level of assurance and TUV NORD’s v</t>
  </si>
  <si>
    <t>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t>
  </si>
  <si>
    <t>BDMS one report 2024.pdf</t>
  </si>
  <si>
    <t>ll non-hazardous 2022 On Track 25.79% Target waste recycled. 2024 30% 2023 24.46% Water Stewardship 10% reduction the water 2022 On Track Target withdrawal per unit of 2024 3.05% 10% revenue compared with 2023 5.88% the base year 2022. Bangkok Dusit Medical Services PCL (BDMS) 25</t>
  </si>
  <si>
    <t>BDMS sus report 2024.pdf</t>
  </si>
  <si>
    <t>1. Assessment of the structure’s efﬁciency and qualiﬁcations 2. Meeting allowance in which the director and the of the Board and the Sub-Committees Sub-Committee will be paid at the rate approved 2. Adequacy and appropriateness of meeting agendas by the shareholders’ meeting and will be based on and the number of meetings their actual meeting attendance. 3. Efﬁciency and operational performance of the Board and the Sub-Committees 6.1.2 Policies and Treatment of Shareholders The procedures for performance assessment shall be and Stakeholders as indicated below: Policies and Treatment of Shareholders 1. The Company Secretary shall propose the performance The Company aims to maximize long-term beneﬁts</t>
  </si>
  <si>
    <t>Key Performance Dashboard GHG Emissions Management 2024 GHG Emissions Scope 1+2 and 3 GHG Emissions Scope 1+2 GHG per unit of revenue Scope1 5% 1.96 1.80 0.32 hundred thousand tons CO eq 2 hundred thousand ton CO2eq / per million THB tons CO2eq 4.00 3.00 2.61 3.50 2.50 Scope 1+2 และ 3 Hundred thousand tons CO2eq Ton CO2eq per million THB revenue 6.46 3.00 1.80 1.80 2.00 2.50 hundred thousand 2.09 tons CO2eq 2.00 1.38 1.50 1.55 1.64 Scope2 25% 1.50 1.00 0.96 Scope3 70% 1.64 1.00 0.50 0.50 0.34 4.50 hundred thousand tons CO2eq 0.00 0.09 0.29 0.32 0.00 hundred thousand 2021 2022 2023 20</t>
  </si>
  <si>
    <t>p. 198</t>
  </si>
  <si>
    <t>undred thousand tons CO2eq 0.00 0.09 0.29 0.32 0.00 hundred thousand 2021 2022 2023 2024 tons CO2eq Scope 1 hundred Scope 2 hundred Ton CO2eq per thousand tons CO2eq thousand tons CO2eq million THB revenue GHG Emissions Scope 31 Employee Other 2% 5.00 4.50 commuting 4% Business travel 4.00 Hundred thousand tons CO2eq Fuel- and 3% energy-related 3.00 4.5 activities 8% Purchased goods 2.00 1.58 hundred thousand tons CO2eq and services 0.98 1.00 0.76 Capital goods 65% 18% 0.00 2021 2022 2023 2024 3.00 2.73 2.50 Hundred thousand tons CO2eq 2.00 1.50 0.77 1.00 0.68 0.50 0.50 0.20 0.29 0.29 0.34 0.32 0.02 0.15 0.10 0.18 0.00 0.01 0.01 0.14 0.00 0.01 0.04 0.00 0.12 0.04 0.01 0.06 0.00 0.00 0.00 0.00 0.00 0.00 0.00 0.00 0.00 0.00 0.00 0.0</t>
  </si>
  <si>
    <t>Total consolidated liabilities as of 31 December 2024 were Baht 47,588 million, increased by 6% from 31 December 2023, due mainly to an increase in short-term loans from ﬁnancial institutions of Baht 2,500 million and trade &amp; other payable of Baht 1,212 million, netted with a decrease in debentures of Baht 1,500 million and long-term loans from ﬁnancial institutions of Baht 1,000 million. Total consolidated shareholders’ equity as of 31 December 2024 was Baht 103,927 million, increased by 5% from 31 December 2023. Liquidity and Capital Management Cash Flow (THB mm) 2024 Net cash from</t>
  </si>
  <si>
    <t>Scope of Duties and Responsibilities of the Executive Committee 1. Determine the vision, business direction, policies and strategies of the Company for further approval by the Board of Directors. 2. Review the business plan, budget plan, annual expenditures, investment plans and Corporate Social Responsibility (CSR) plan of the Company in accordance with the established policies and strategies and propose to the Board of Directors for approval. 3. Supervise the Company’s operations to ensure their compliance with the established plan, including compliance with related laws, regulations and guidelines of various agencies as well as the Articles of the Company. 4. Consider the report of th</t>
  </si>
  <si>
    <t>BDMS Base Progress in Supporting Indicator Key Performance in 2024 Sustainability Goals Year 2024 the SDGs Human Capital Achieve an employee 2022 On Track 83.30% Target Development and engagement rate of 85% 2024 Retention 85% 2023 84.00% Customer Relationship Reach a customer satisfaction 2022 Beyond Target Management rate of no less than 88%. 2024 95.00% Target 88% 2023 93.81% Community Organize 4,500 initiatives 2022 On Track 2,011 Target Engagement 2024 related to healthcare 4,500 access for the communities 2023 931 acro</t>
  </si>
  <si>
    <t>Independent Assurance Statement Introduction and Engagement Bangkok Dusit Medical Services Public Company Limited (hereafter ‘BDMS’) commissioned TÜV NORD (Thailand) Ltd. (hereafter ‘TUVN’) for Sustainability Assurance Engagement. TUV NORD provides independent assurance on BDMS’s sustainability information, (hereinafter ‘the Report’), for the applied reporting period for the calendar year 2024. This assurance engagement was conducted in accordance with the Global Reporting Initiative Standards with a limited level of assurance</t>
  </si>
  <si>
    <t>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t>
  </si>
  <si>
    <t>BDMS one report 2025.pdf</t>
  </si>
  <si>
    <t>95 Limited Company Public SERVICES MEDICAL DUSIT BANGKOK Revenues from hospital operations in 2025 Chg. (YoY) % of revenues Revenues growth from hospital operations 4% 100% (Excluding Cambodian) 5% Breakdown by nationality Thai 3% 72% International 5% 28% (Excluding Cambodian) 11% Breakdown by location Bangkok &amp; Vicinity 3% 54% Outside Bangkok 5% 46% Breakdown by type of patients Outpatients 5% 49% Inpatients 2% 51% • Revenues from sales of goods were Baht 3,994 million, decreased by 7% YoY due to a decrease in sales of A.N.B. Laboratories Co., Ltd. • Other income was Baht 1,699 million, increased by 15% YoY due to mainly</t>
  </si>
  <si>
    <t>mpany has the policy on dividend payment no less than 50 percent of net proﬁt of consolidated ﬁnancial statements, depending on business expansion and capital requirement of the Company in each year. Such policy must be approved at the shareholders’ meeting, except in a case of interim dividend payment which can be approved by the Board of Directors. In a case where the Board of Directors deems that the Company has good operating results and sufﬁcient liquidity. Historical dividend payment from the Company’s operations for the last 5 years can be summarized as follows: 2025 Annual Dividend Payment 2020 2021 2022 2023 2024 (Jan-Jun) Net proﬁt per share (Consolidated Financial Statements) 0.45 0.50 0.79 0.90 1.01 0.49 Net proﬁt per</t>
  </si>
  <si>
    <t>100 In 2025, ROA was 10.2% while ROE was 15.4%, a slight decrease from 2024. The current ratio of 1.0x slightly decreased from 2024 due to a decrease in cash &amp; cash equivalents together with an increase in short-term loans from ﬁnancial institutions and the current portion of debentures. The average inventory period (excluding real estate development for sales) increased from 13.5 days in 2024 to 14.0 days in 2025. The inventories were mostly medicines and medical supplies. The Company and its subsidiaries have an appropriate inventory management plan with internal control. The Compan</t>
  </si>
  <si>
    <t>p. 102</t>
  </si>
  <si>
    <t>2025, the Company and its subsidiaries reported total assets of Baht 157,961 million, an increase of 4% from 31 December 2024 due mainly to net increase in property, premises and equipment of Baht 5,703 million for the investment in hospital network expansion. In addition, inventories increased by Baht 819 million, mainly due to the recognition of real estate development for sales amounting to Baht 567 million. The Company carried goodwill of Baht 17,539 million, which remain unchanged from 31 December 2024. Goodwill were mainly from acquisitions of (1) Phyathai and Paolo Hospital Group of Baht 9,310 million (2) Bangkok Sanamchan Hospital, Thephakorn Hospital, Bangkok Muangraj Hospital and Bangkok Phetchaburi Hospital of Baht 3,2</t>
  </si>
  <si>
    <t>143 Limited Company Public SERVICES MEDICAL DUSIT BANGKOK Separation of Positions At the same time, the Board of Directors shall not interfere 1. At present, the Chairman of the Board of Directors with day-to-day operations or business activities under the is an independent director. The Company has stipu- responsibility of the Executive Committee and the President lated that the Chairman and the President must not while the management under the supervision of the Pre- be the same person so that the Chairman can perform sident shall perform their respective duties in compliance his duties independently from the manag</t>
  </si>
  <si>
    <t>40 7.2.2 Information of the Board of Directors and Authorized Directors List of the Board of Directors and the Sub-Committees as of 31 December 2025 List of Directors Title 1. Professor Emeritus Santasiri Sornmani, M.D. Independent Director/Chairman of the Board 2. Mr. Chuladej Yossundharakul, M.D. Authorized Director/Vice Chairman/Member of the Executive Committee/ Member of the Nomination and Remuneration Committee 3. Miss Poramaporn Prasarttong-Osoth, M.D. Authorized Director/Chairperson of the Executive Committee/President 4. Mrs. Narumol Noi-am Authorized Director/Member of the Executive Committee/ Member of the Risk Management Committee/ Senior Executive Vice President and Chief Financial Ofﬁcer 5. Mr. Pradit Theekakul Autho</t>
  </si>
  <si>
    <t>ESG review | Environmental Environmental TCFD Transition to net zero We are developing new solutions to the climate crisis and supporting the transition of our customers, industries and markets to a net zero future, while moving to net zero ourselves. At a glance Transition to net zero Our approach to climate risk Impact on reporting and financial Our net zero ambition represents one of our We recognise that to achieve our climate statements four strategic pillars. At the core of it is an ambition we need to enhance our approach We have assessed the impact of climate risk a</t>
  </si>
  <si>
    <t>HSBC One report 2022.pdf</t>
  </si>
  <si>
    <t>0.46 tonnes of In line with the IEA Net Zero Emissions by 2050 tonnes of carbon dioxide equivalent per carbon dioxide per tonne of cement (‘tCO2/t scenario, we target an absolute reduction of gigawatt hour (‘tCO2/GWh’) by 2030, using 2019 cement’) by 2030, using 2019 as our baseline. 34% in on-balance sheet financed emissions as our baseline. The power and utilities sector Some emission reductions can be achieved by 2030, using 2019 as our baseline. We believe is expected to expand significantly as the through energy efficiency. However, we believe decarbonising the energy system, and therefore electrification of transport, heating and other that to significantly reduce fuel and process our ability to meet our targets, requires a</t>
  </si>
  <si>
    <t>ontinued access to affordable energy sources to support our customers on their transitions in the markets we serve, and supporting an to a low-carbon future. accelerated transition. The Board remained In 2022, the Board approved an update to the Since publication of the energy policy, active and directly thermal coal phase-out policy. It also approved stakeholder engagement has continued, the publication of an updated energy policy, including with key institutional investors to engaged on the Group’s which was considered well aligned to our discuss the policy, its impacts and alignment response to the climate strategic approach to transition to net zero. with our ambition to help finance our clients’ The energy policy seeks to bal</t>
  </si>
  <si>
    <t>rritories, which accounted for 2022 2021 ESG review Greenhouse Gas Protocol, which incorporates approximately 92.4% of our FTEs. To estimate the scope 2 market-based emissions the emissions of our operations in entities Scope 1 1 19,000 22,000 methodology. We report greenhouse gas where we have operational control and a small emissions resulting from the energy used in presence, we scale up the emissions data from Scope 21 224,000 307,000 our buildings and employees’ business travel. 92.4% to 100%. We then apply emission uplift Scope 3 (category 6) Due to the nature of our primary business, rates to reflect uncertainty concerning the 42,000 12,000 business travel1 carbon dioxide is the main type of greenhouse quality and coverage</t>
  </si>
  <si>
    <t>t organisation to embed net zero and help emissions we create. Scope 2 represents the indirect emissions resulting from the use of finance the transition. Our approach to nature electricity and energy to run a business. Scope 3 represents indirect emissions attributed to and enabling a just and resilient transition upstream and downstream activities taking place to provide services to customers. Our will also be incorporated into our climate upstream activities include business travel and emissions from our supply chain including transition plan. transport, distribution and waste. Our downstream activities include those related to investments and financed emissions. Our net zero policies In December 2022, we published our updated</t>
  </si>
  <si>
    <t>stainable future through Sustainable finance summary1 ($bn) ($bn) ($bn) ($bn) providing and facilitating between $750bn Balance sheet-related transactions provided 42.1 26.0 10.3 78.4 and $1tn of sustainable finance and investment by 2030. Our sustainable finance Capital markets/advisory (facilitated) 34.6 48.7 30.0 113.3 ambition has promoted green, sustainable Investments (assets under management – flows) 7.5 7.7 3.7 19.0 and socially-focused business alongside sustainable infrastructure and energy Total contribution 2 84.2 82.4 44.1 210.7 systems, and enhanced investor capital Sustainable finance classification by theme through sustainable investment. Green use of proceeds3 29.0 27.1 18.8 74.9 Since 1 January 2020, we have prov</t>
  </si>
  <si>
    <t>p. 60</t>
  </si>
  <si>
    <t>ders. For further details of to challenges appropriately. In addition to responsibilities. how we engaged with our stakeholders, continuous assessment meetings with the UK see pages 21 and 253. regulator (including with Board committee On pages 22 and 23, we set out four chairs), the Group Chairman, the Group Chief examples that demonstrate how the Board We hosted our second hybrid AGM and Executive and the Group Chief Financial Officer made certain decisions while considering engaged directly with our investors leading met with our regulators in the UK and Hong stakeholders, in accordance with the up to and during the event. The Informal Kong on a regular basis. These included Directors’ section 172 duties, and how the Shareholde</t>
  </si>
  <si>
    <t>G review our 2030 interim targets and how changes For some sectors, our financed emissions We plan to report financed emissions and to exposure and market fluctuations impact baseline will be different from the Net Zero progress against our targets annually and to yearly updates. Movement from one year to Emissions by 2050 reference scenario be transparent in our disclosures about the the next may not reflect future trends for the baseline. Where we have applied an absolute methodologies applied. However, financed financed emissions of our portfolio, and as we reduction target such as for the oil and gas emissions figures may not be reconcilable or are at the beginning of our journey to track sector, and the target is defined as a</t>
  </si>
  <si>
    <t>our buildings due to the Covid-19 pandemic. We also implemented UK only 222,000 227,000 over 400 energy conservation measures that amounted to an estimated energy avoidance in 1 Data in 2022 is subject to PwC’s limited assurance excess of 11.9 million kWh and increased our report in accordance with International Standard consumption of renewable electricity to 48.3%. on Assurance engagements 3410 (Assurance Engagements on Greenhouse Gas Statements). For further details, see GHG Reporting Guideline 2022 and third-party limited assurance report at www. hsbc.com/our-approach/esg-information/ esg-reporting-and-policies. Emissions from our supply chain in 2022 Emissions (tonnes CO2e) Data quality score1 Scope 3 categories Year Scope 1</t>
  </si>
  <si>
    <t>ESG review | Environmental Environmental TCFD Transition to net zero We support the transition of our customers, industries and markets to a net zero and a sustainable future, while moving to net zero ourselves. At a glance Our approach to transition to net zero Embedding net zero into the way Impact on reporting and Our net zero ambition represents one of we operate financial statements our four strategic pillars. In January 2024, We take a risk-based, proportionate and We have assessed the impact of climate risk we published our net zero transition plan. It iterative appr</t>
  </si>
  <si>
    <t>HSBC One report 2023.pdf</t>
  </si>
  <si>
    <t>target and on track to meet our external commitment of 3.4% by 2025. – We made a 3.8 percentage point year-on-year net gain in senior leadership representation of colleagues with Asian heritage, against a 2022 year-end baseline of 34.0% – The percentage of women in senior leadership roles increased by 0.8 percentage points to 34.1%, meeting the target, and below the maximum. The targets excluded the Canada business held for sale. Including colleagues in HSBC Canada, gender representation in senior leadership is 34.2%. Personal objectives for Noel Quinn and Georges Elhedery For each executive Director, personal objectives were set at the start of the year and measured by the Committee against agreed targets and key performance ind</t>
  </si>
  <si>
    <t>p. 287</t>
  </si>
  <si>
    <t>evant data and In January 2023, we withdrew our methodology limitations, see page 55. commitment to the Science Based Targets included within the on-balance sheet For details of our sustainable finance and initiative (‘SBTi’), which we had made in 2016, financed emissions calculation showed that investment ambition, see page 49. because we determined that it would not be the majority of thermal coal power entities For details of our approach to thermal coal feasible for us to meet SBTi’s requirement in scope are included in other financed financing exposures, see page 67. to submit a complete set of sector targets emission sector targets. We previously For further details of our asset management for validation by its deadline.</t>
  </si>
  <si>
    <t>greenhouse gas emissions in tonnes CO2e We report our emissions following the 2019 Greenhouse Gas Protocol, which incorporates 2023 2022 baseline the scope 2 market-based emissions methodology. We report greenhouse gas Scope 11 16,918 19,329 22,066 emissions resulting from the energy used in Scope 2 (market-based) 1 167,174 223,334 392,270 our buildings and employees’ business travel. Due to the nature of our primary business, Scope 3 1,090,280 1,052,264 1,139,260 carbon dioxide is the main type of greenhouse Category 1: Purchased goods and services1,2 859,256 865,747 829,635 gas applicable to our operations. While the amount is immaterial, our current reporting Category 2: Capital goods1,2 121,783 144,232 37,617 also incorporate</t>
  </si>
  <si>
    <t>Environmental Financed emissions TCFD We announced our ambition to become a net They form part of our scope 3 emissions, against the financed emissions baselines that zero bank in October 2020, including an aim which include emissions associated with the we now measure ourselves against. to align our financed emissions to net zero use of a company’s products and services. ESG review by 2050 or sooner. We have published initial Following a reduction in our exposure to the financed emissions targets for 2030, and plan to In 2021, we started measuring financed shipping sector after the strategic sale of part review th</t>
  </si>
  <si>
    <t>r ESG review 2022 due to limited availability of actual reported emissions from our customers. On-balance sheet financed emissions – wholesale credit lending and project finance1,2 PCAF data quality score3,† Sector Year Scope 1–2 (Mt CO2e) † Scope 3 (Mt CO2e) † Emissions intensity 4 Scope 1 and 2 Scope 3 2021 2.1 18.4 N/A 2.8 2.9 Oil and gas 2022 1.3 16.2 N/A 3.2 3.2 2021 8.1 N/A 407.0 2.9 N/A Power and utilities 2022 7.6 N/A 401.7 3.3 N/A 2021 2.2 N/A 0.70 2.8 N/A Cement 2022 4.5 N/A 0.71 2.9 N/A 2021 2.0 N/A 2.4 3.0 N/A Iron, steel and aluminium 2022 2.7 N/A 2.5 3.0 N/A 2021 2.7 0.16 85.9 3.0 3.3 Aviation 2022 2.6 0.15 86.5 3.3 2.4 2021 0.07 3.6 215.7 2.8 2.9 Automotive 2022 0.12 5.4 216.6 2.7 2.9 Thermal coal mining 2020 0.17 3</t>
  </si>
  <si>
    <t>Environmental Supporting our customers Sustainable finance and investment TCFD We recognise that we have an important role Since 1 January 2020, we have provided lending transactions increased by 7% to play in supporting the transition to a net and facilitated $267.8bn of sustainable compared with 2022. In 2023, transactions zero global economy. As a global organisation finance and $26.6bn of ESG and sustainable totalling $0.7bn were identified as no longer ESG review with a presence in the regions and sectors investing, as defined in our Sustainable fulfilling our eligibility</t>
  </si>
  <si>
    <t>man based on his determination of their impact on the Group Company Secretary and Chief Governance Officer and her overall effectiveness of the Board and its committees. team. Similar discussions were led by each of the Board committee chairs in IBE presented its report to the December 2023 Board meeting, and their respective January 2024 meetings. Progress against these was present for the Board’s discussion, led by the Group Chairman, actions will be included in the Annual Report and Accounts 2024. on the findings identified through IBE’s review. Among other recommendations for consideration that could strengthen the end-to- end governance of the Board and its committees, the Board focused on the following three specific themes:</t>
  </si>
  <si>
    <t>Environmental Financed emissions continued Targets and progress We have set out in the table below our numbers for the relevant year to track Targets were set for oil and gas, and power ESG review combined on-balance sheet financed and progress to target. We set out the annual and utilities in February 2022, for thermal coal facilitated emissions targets for the oil and figures before the application of the three-year mining in December 2022, and for the other gas, and power and utilities sectors. These average in the facilitated emissions table sectors in February 202</t>
  </si>
  <si>
    <t>rs on PwC members of the audit engagement team, with the work closely as a firm; related to the work performed in the audit; – the hours of audit work delivered by senior PwC audit team – engagements covered under other assurance services that require members, the extent of specialist and expert involvement, delivery obtaining appropriate audit evidence to express a conclusion against agreed timetable and milestones and the use of designed to enhance the degree of confidence of the intended technology; users other than the responsible party about the subject matter – any new control deficiencies in Sarbanes-Oxley locations, information; proportion of management identified deficiencies and delivery of – other permitted services suc</t>
  </si>
  <si>
    <t>p. 271</t>
  </si>
  <si>
    <t>ESG review | Environment Environmental TCFD Transition to net zero We aim to support the transition to net zero and a sustainable future in partnership with our customers and other stakeholders At a glance Supporting the transition to net zero is a key customers on their transition plans, managing transition plan review referenced in our 3Q24 priority for HSBC. In 2020, we set an ambition to the products and services that we offer, and earnings release in October. become a net zero bank by 2050. We continue adapting the financing choices we make to help As we calibrate ou</t>
  </si>
  <si>
    <t>HSBC One report 2024.pdf</t>
  </si>
  <si>
    <t>review Category 2: Capital goods 127,158 123,763 50,651 Emissions from our energy 1 We are currently on track to reduce our scope 1 Category 6: Business travel ~ 133,878 109,241 272,008 and 2 emissions by more than 90% by 2030 Total Ä 1,226,693 1,297,590 1,770,967 compared with our 2019 baseline. In 2024, we Included Scope 1 and 2 of UK Ä 5,887 5,909 10,432 reduced these emissions (including energy and 1 Data in 2024 is subject to an independent third-party limited assurance in accordance with the road fleet) to 98,785 tonnes CO2e, representing International Standard on Assurance engagements 3410 (Assurance Engagements on Greenhouse a 76.2% reduction from our 2019 baseline and a Gas Statements). For further details, see GHG Repor</t>
  </si>
  <si>
    <t>ectors | Corporate governance report Financial decisions The Board also reviewed and monitored the implications of geopolitical and macroeconomic developments during the year, both The Board and its dedicated committees approved key financial directly and by way of updates from the Group Risk Committee, and decisions throughout the year, including the Annual Report and received regular updates on the Group’s risk profile, including in Accounts 2023, the Interim Report 2024 and the first quarter and the relation to financial crime risk. third quarter Earnings Releases. In January 2024, the Board approved the 2024 financial resource plan. The Board monitored the Group’s performance against the approved plan, as well as the plans of</t>
  </si>
  <si>
    <t>p. 254</t>
  </si>
  <si>
    <t>Energy and travel greenhouse gas emissions in tonnes CO2e 2050 net zero ambition. In 2024 we achieved a 2024 2023 2019 baseline reduction in absolute operational greenhouse gas emissions (energy and business travel) of Scope 1 1 Ä 15,025 16,918 22,066 66.1% from our 2019 baseline. Overall, Scope 2 (market-based) 1 Ä 83,760 167,174 392,270 including supply chain emissions, we achieved a Scope 3 ~ 1,127,909 1,113,498 1,356,631 30.7% reduction against 2019 and 5.5% compared with 2023. Category 1: Purchased goods and services 1,2 1,2 Ä 866,873 880,494 1,033,972 ~ ESG review Category 2: Capital goods 127,158 123,763 50,651 Emissions from our energy 1 We are currently on track to reduce our scope 1 Category 6: Business travel ~ 133,878</t>
  </si>
  <si>
    <t>solute on-balance sheet financed 8 diversified mining companies. The majority of emissions decreased by 71% to 1.38 Mt 7 our reported financed emissions relate to CO2e relative to the re-baselined 2020 figure. 6 Mt CO2e scope 3 emissions associated with coal In 2022, the absolute on-balance sheet 5 mining, representing financing provided to financed emissions of our portfolio decreased 4 large conglomerates that own diversified by 69% to 1.44 Mt CO2e relative to the re- baselined 2020 figure, and they rose by 4% 3 business interests including coal. from 2021 to 2022. The reduction from the 2 We have set a target to reduce our absolute on- 2020 re-baselined figure was due to strategic 1 balance sheet financed emissions by 70% by de</t>
  </si>
  <si>
    <t>p. 58</t>
  </si>
  <si>
    <t>mal coal mining We show in the chart our progress to date Thermal coal mining 2022 progress For the thermal coal mining sector, our against our 2030 target. We also indicate the Mt CO2e from baseline analysis focused on scope 1, 2 and 3 2030 figure of 2.7 Mt CO2e derived from the (69)% emissions in upstream companies, including updated IEA NZE 2024 scenario, which those involved in extraction. When calculating suggests a 42% reduction relative to the re- 10 our financed emissions from thermal coal baselined 2020 figure. 9 mining, we focused on thermal coal extraction and processing companies, and In 2021, absolute on-balance sheet financed 8 diversified mining companies. The majority of emissions decreased by 71% to 1.38 Mt 7 our</t>
  </si>
  <si>
    <t>Supporting our customers Sustainable finance and investment TCFD We aim to help our customers transition to Dictionary 2024. This included 39% where On-balance sheet sustainable lending net zero and a sustainable future by providing the use of proceeds was dedicated to green transactions increased by 11% compared and facilitating between $750bn and $1tn of financing, 12% to social financing, and 15% with 2023. In 2024, transactions totalling sustainable finance and investment by 2030. to other sustainable financing. It also included $0.5bn were identified as no l</t>
  </si>
  <si>
    <t>Report of the Directors | Corporate governance report | Board committees Group Technology and Operations Committee will oversee the work needs of the Board and the Group, to determine whether his term of the new Group CIO and Group COO. should be extended. Pepe has played an important and valuable role, significantly enhancing the Board’s engagements with all colleagues Both forums have strengthened our governance oversight in the key and its understanding of their views. In order to allow him to build on areas of technology and sustainability, which are two critical el</t>
  </si>
  <si>
    <t>p. 262</t>
  </si>
  <si>
    <t>ESG review | Environment Financed emissions continued Targets and progress We have set out in the table below our We also set out our defined targets for the When assessing the changes from 2019 to combined on-balance sheet financed and on-balance sheet financed emissions of the 2023, it is important to emphasise how facilitated emissions targets for the oil and following sectors: cement; iron, steel and changes to exposure and market fluctuations gas, and power and utilities sectors. aluminium; aviation; automotive; and thermal impact yearly updates as we make progress coal mini</t>
  </si>
  <si>
    <t>15). For further breakdown of our scope 1, 2 and 3 emissions, see our ESG Data Pack at www.hsbc.com/esg. 1 Our analysis of financed emissions comprises ‘on-balance sheet financed emissions’ and ‘facilitated emissions’. Assurance relating to ESG metrics TCFD HSBC Holdings plc is responsible for Reviews of Historical Financial Information’ The work performed for independent limited preparation of the ESG information and all and, in respect of the greenhouse gas assurance is substantially less than the work supporting records, including selecting emissions, in accordance with the International performed for a reasonable assurance opinion, appropriate measurement and reporting Standard on Assurance Engagements 3410 such as that provi</t>
  </si>
  <si>
    <t>Strategic report ESG review Financial review Risk review Corporate Financial Additional Governance Report statements information Environmental TCFD Transition to net zero We aim to support the transition to net zero and a sustainable future in partnership with our customers and other stakeholders Our approach to the transition Our Priorities Be simple and agile Drive customer-centricity Deliver focused sustainable growth Our Values We value difference We succeed together We take responsibility We get it done Our Net Zero Ambition to become a net zero bank by 2050 supported by our Sustainability Strategy Ambition Our Three Net Supporting Embedding net zero Partnering for an</t>
  </si>
  <si>
    <t>HSBC One report 2025.pdf</t>
  </si>
  <si>
    <t>rolling average 30 combined on-balance sheet financed and MtCO2e basis, and lower volumes from 2022 and 2023 facilitated emissions for our oil and gas 25 continue to be included in the 2024 reported portfolio by 14-30% by 2030 relative to our number. 20 2019 baseline. The percentage reduction 15 range is equivalent to the percentage decrease We are currently reporting below the 2030 10 that the IEA indicates in its APS and NZE 2024 target range. Achieving the target range is 5 scenarios for global sector emissions to 2030, sensitive to market activities, such as clients 0 from a 2019 baseline. increasing capital markets transactions, and 2019 2020 2021 2022 2023 2024 2030 volatility in short-term lending or external We show in th</t>
  </si>
  <si>
    <t>th effect from 31 January 2025. Matters considered by the Board in 2025 Activities and areas of focus Group strategy and – Agreed and monitored performance towards delivery of Group strategic priorities and reviewed and approved home market and business performance global business strategies. – Provided strategic input to the Group's refreshed ambition and oversaw operational and governance progress towards creating a more simple, agile and customer-centric organisation, including implementation of the new organisational design, our new Leadership Principles and Group-wide leadership framework, How We Lead. – Reviewed strategic growth opportunities, including detailed consideration of the proposal to privatise Hang Seng Bank Limit</t>
  </si>
  <si>
    <t>p. 197</t>
  </si>
  <si>
    <t>progress towards our Operational and supply chain greenhouse gas emissions in tonnes CO2e 2050 net zero ambition. In 2025 we achieved a reduction in absolute operational greenhouse 2025 2024 2019 baseline gas emissions (scope 1, 2 and business travel) of 84.9% from our 2019 baseline. Overall, Scope 11† ~ 16,698 15,025 22,066 including supply chain emissions, we achieved Scope 2 (market-based)1† Ä 19,919 83,760 392,270 a 39.2% reduction against 2019 and 12.2% Scope 3 Ä 1,040,300 1,127,909 1,356,631 compared with 2024. Category 1: Purchased goods and services 2† Ä 807,293 866,873 1,033,972 Scope 1 and 2 emissions Category 2: Capital goods2† ~ 165,988 127,158 50,651 We have already reduced our scope 1 and 2 Category 6: Business trave</t>
  </si>
  <si>
    <t>the results of our assessment of on-balance sheet financed emissions using 2023 and 2024 data. On-balance sheet financed emissions – wholesale credit lending and project finance1 PCAF Data quality score2,† Scope 1-2 (Mt Scope 3 (Mt Emissions Sector Year CO2e)† CO2e)† intensity Scope 1 and 2 Scope 3 2023 2.6 19.7 N/A 2.2 2.7 Oil and gas 2024 3.0 20.4 N/A 2.3 2.8 2023 7.1 N/A 288 2.9 N/A Power and utilities 2024 6.6 N/A 232 3.0 N/A 2023 7.2 N/A 0.59 2.3 N/A Cement 2024 5.1 N/A 0.61 2.2 N/A 2023 3.2 N/A 1.73 2.9 N/A Iron and steel 2024 3.7 N/A 1.81 2.9 N/A 2023 2.9 0.51 747 2.2 2.5 Aviation 2024 2.8 0.60 737 2.2 2.7 2023 0.16 9.3 152.8 2.2 3.2 Automotive 2024 0.11 5.9 146.8 2.3 3.2 2023 0.06 0.97 N/A 3.2 3.2 Thermal coal mining 2024</t>
  </si>
  <si>
    <t>Strategic report ESG review Financial review Risk review Corporate Financial statements Additional Governance Report information Environment Supporting our customers Sustainable finance and investment TCFD We aim to help our customers’ transition to In 2025, our underwriting activity for green, Continued progress towards achieving our net zero and a sustainable future by providing social, sustainability, and sustainability-linked sustainable finance and investment ambition is and facilitating between $750bn and $1tn of bonds declined, primarily due to challenging dependent on market demand for the products sustainable finance and investment by 2030. market conditions, particularly in the latter half a</t>
  </si>
  <si>
    <t>ards of corporate governance. The Group has in place a comprehensive range of policies and procedures to help ensure that its end-to-end governance is well managed, with appropriate and effective oversight and controls. Board of Directors The Board has overall, collective responsibility for the long-term success of the Group and delivery of sustainable value to shareholders. Led by the Group Chairman, the Board is responsible for, among other matters: – approving the Group’s strategy and objectives, and monitoring the alignment of the Group’s purpose, strategy and values with the A schedule of matters desired culture and standards; reserved for the Board is – setting the Group’s risk appetite and monitoring the Group’s risk profil</t>
  </si>
  <si>
    <t>cial review Risk review Corporate Financial Additional Governance Report statements information Environment We plan to report financed emissions and A number of clients have material undrawn The charts below display our progress to date progress against our targets annually, and to balances that, if drawn, could significantly in relation to the updated 2030 target, be transparent in our disclosures about the increase the financed emissions related to including historical progress metrics based on methodologies applied and any challenges or those clients. We expect to assess how to our previous methodology. dependencies. However, financed emissions manage these exposures on a forward-looking figures may not be reconcilable or compa</t>
  </si>
  <si>
    <t>of credit losses, classification and measurement and compatible with our own net zero the process, enhanced verification and of financial instruments, goodwill and other ambition, while remaining realistic and credible assurance procedures are performed on a intangible assets; and in making the long-term given global developments. sample basis over this data, including by the viability and going concern assessment. As first and second lines of defence. Our climate part of assessing the impact on our financial We expect to periodically review and, if models undergo independent review by an statements we conducted scenario analysis to required, update our targets. We seek to internal model review group, and we obtain understand the</t>
  </si>
  <si>
    <t>Sustainability Heidelberg Materials 2022 35 Net Zero Building a net zero future Net Zero Reducing our CO 2 emissions Alternative fuel mix 1990 2021 2022 2030 28.7 % 750 565 551 400 KG CO2 / T CEM KG CO2 / T CEM KG CO2 / T CEM KG CO2 / T CEM Alternative fuel rate Successfully increased from 3% –2.4% –47% since 1990, target: 45%. 2021–2022 1990–2030 Our commitment Our Sustainability Commitments 2030 10 MIO T CO2 EMISSIONS 1.5 °C 50 % Group revenue –40 compared with 2008 % captured by 2030 through our already We are reducing our total We achieve 50% of our reve</t>
  </si>
  <si>
    <t>Heidelberg Anuual:sus report 2022.pdf</t>
  </si>
  <si>
    <t>arket price. carrying amount to exceed the recoverable amount. for the CGU Benelux, and around 15.9% for the CGU Management does not rule out such a development. France, the recoverable amount and carrying amount With a reduction of the growth rate of around 1.4 per- are equal. With an increase in the weighted average</t>
  </si>
  <si>
    <t>p. 213</t>
  </si>
  <si>
    <t>Sustainability ­Heidelberg ­Materials 2022 37 Climate strategy and CO₂ reduction In line with SBTi 1.5°C pathway In February 2023, the Science Based Targets initiative (SBTi) validated ­H eidelberg ­M aterials’ 2030 CO 2 reduc- tion targets according to its new 1.5°C framework. The commitments towards the SBTi 1) are consistent with ­H eidelberg ­M aterials’ own previously communicated target to reduce specific net CO 2 emissions to 400 kg per tonne of cementitious material by 2030. The SBTi reviews and validates companies' emission reduction targets based on scientific climate findings. Its 1.5°C framework</t>
  </si>
  <si>
    <t>Additional information Heidelberg Materials 2022 334 ESG indicators ESG indicators Assurance 1990 2020 2021 2022 Unit 2022 CO 2 emissions Cement business line – Absolute gross CO2 emissions (Scope 1) 82.6 67.9 69.0 65.4 million t ○● – Absolute net CO2 emissions (Scope 1) 81.0 63.6 64.6 61.2 million t ○● – Specific gross CO2 emissions per tonne of cementitious material (Scope 1) 759.6 610 599 586 kg CO2/t ○● – Specific net CO2 emissions per tonne of cementitious material (Scope 1) 751.8 576 565 551 kg CO2/t ●● – Absolute CO2 emissions from external electrical power and thermal energy production (Scope 2) 6.6 4.9 4.8 4.5 million t ○● – Specific CO2 emissions from external electrical power and therma</t>
  </si>
  <si>
    <t>p. 334</t>
  </si>
  <si>
    <t>2) – 0.24 0.26 0.28 million t ○ – Specific CO2 emissions from external electrical power and thermal energy production (Scope 2) – 0.92 0.87 0.98 kg CO2/t ○ All business lines – CO2 emissions from purchased materials (Scope 3)1) – 8.9 8.1 11.0 million t ○● – CO2 emissions from purchased fuels (Scope 3)2) – 3.5 3.7 3,4 million t ○● – CO2 emissions from upstream and downstream transportation and distribution (Scope 3)3) – 8.9 8.2 7.6 million t ○● Energy/raw materials Absolute energy consumption – Cement 450,860 343,099 353,640 337,186 TJ ○● thereof clinker production 385,973 290,535 297,377 287,684 TJ ○● – Aggregates n.a. 8,181 9,586 9,900 TJ ○ Specific energy consumption – Cement 4,186 3,108 3,093 3,037 MJ/t ○● thereof clink</t>
  </si>
  <si>
    <t>Combined management report Heidelberg Materials 2022 115 Non-financial statement Act to Article 8 of Regulation 2020/852. The relevant Capital expenditure (CapEx) CapEx in cross-sectional economic activities involve revenue, CapEx, and OpEx were assigned to the CapEx comprises all additions of tangible and intangi- marginal as well as no strategic investments. The re- above-mentioned taxonomy-eligible economic activi- ble assets, including leases but excluding goodwill and view of these investments in the 2022 financial year ties. Standard reporting (assignment by business line) revaluations. The CapEx thus results from the additions revealed that they are negligible</t>
  </si>
  <si>
    <t>Corporate Governance Heidelberg Materials 2022 157 Corporate G ­ overnance statement Composition of the Supervisory Board The Supervisory Board meets at least twice every half- Supervisory Board committees year; at these meetings, it usually discusses the open Shareholder representatives Employee representatives topics and passes the required resolutions, on the In accordance with the Articles of Association, the ­basis of reports drawn up by the Managing Board and Super­visory Board has set up a total of five commit- Fritz-Jürgen Heckmann Heinz Schmitt documents received in advance in preparation for the tees, which</t>
  </si>
  <si>
    <t>Additional information Heidelberg Materials 2022 343 Independent Practitioner’s Report on a Limited Assurance Engagement on Non-financial Reporting and Sustainability Information Responsibility of the Assurance Practitioner – the selected ESG indicators denoted with “○ ●” in the – Conduct sampling site visits to assess processes and Our responsibility is to express a conclusion with limit- “Additional Information” section of the Company's internal control measures at site level: ed assurance on the Combined Non-financial State- Annual report are not prepared, in all material re- ment included in the section “Non-</t>
  </si>
  <si>
    <t>p. 343</t>
  </si>
  <si>
    <t>Sustainability Heidelberg Materials 2023 51 Net Zero – Climate risks and scenarios Scenario analysis – climate transition risks and opportunities Best case Most likely Worst case Transition subject Timeframe “The 1.5°C Pathway” “Middle of the Road” “The Fossil Pathway” SSP1-1.9 SSP2-4.5 SSP5-8.5 Policy and legal Price of GHG emissions, emissions- 2030 reporting obligations, regulation of 2040 products and services 2050 Resource efficiency Production &amp; distribution processes, 2030 building/recycling, modes of transport 2040 2050 Technology Change in products</t>
  </si>
  <si>
    <t>Heidelberg Anuual:sus report 2023.pdf</t>
  </si>
  <si>
    <t>ecoverable amount. around 15.9% for the CGU France, and around 22.5% sell on the basis of the stock market price. Management does not rule out such a development. for the CGU Nordic Precast Group, the recoverable With a reduction of the growth rate of around 1.6 per- amount and carrying amount are equal. With an in-</t>
  </si>
  <si>
    <t>e latest. Chief Sustainability Officer (CSO). The CSO heads var- ious internal working groups that deal with the different By using waste materials and by-products from other In this context, we made a commitment to the SBTi to areas of focus of sustainability at Heidelberg Materials. industries as alternative raw materials and fuels, we reduce our specific gross Scope 1 CO 2 emissions by The working groups include experts from the various also promote the circular economy, which can also 24% compared with 2020. We also want to reduce our areas of focus. The task of the working groups is to contribute to the reduction of our carbon footprint. gross Scope 2 CO 2 emissions per tonne of cementitious accelerate the progress of operati</t>
  </si>
  <si>
    <t>p. 117</t>
  </si>
  <si>
    <t>Additional information Heidelberg Materials 2023 356 ESG indicators ESG indicators Assurance 1990 2021 2022 2023 Unit 2023 CO 2 emissions Cement business line Absolute gross CO2 emissions (Scope 1) 82.6 69.0 65.4 61.2 million t ○● Absolute net CO2 emissions (Scope 1) 81.0 64.6 61.2 57.1 million t ○● Specific gross CO2 emissions per tonne of cementitious material (Scope 1) 759.6 598.7 586 569 kg CO2/t ○● Specific net CO2 emissions per tonne of cementitious material (Scope 1) 751.8 565 551 534 kg CO2/t ●● Absolute CO2 emissions from external electrical power and thermal energy production (Scope 2) – market based approach 1) 4.5 million t ○ Absolute CO2 emissions from external electrical power and</t>
  </si>
  <si>
    <t>l power and thermal energy production (Scope 2) – location based approach – 0.94 kg CO2/t ○ All business lines CO2 emissions from offsite transport (Scope 1) 2) 1.5 million t ○ C  O2 emissions from purchased materials (Scope 3) 3) – 12.0 9.7 7.9 million t ○ C  O2 emissions from purchased fuels (Scope 3) 4) – 3.7 3.4 3.7 million t ○ C  O2 emissions from upstream and downstream transportation and distribution (Scope 3) 5) – 8.2 7.6 3.5 million t ○ C  O2 emissions from processing of sold products (Scope 3) – 0.2 million t CO2 emissions from investments (Scope 3) – 7.5 million t Specific CO2 emissions per Group revenue 6) – 3.9 kt CO2/€m ○ Energy/raw materials Absolute energy consumption – Cement 450,860 353,640 337,186 318,671</t>
  </si>
  <si>
    <t>­s tatement The detailed quantitative information at economic Share of taxonomy-eligible and roadmap. We want to significantly reduce our specific ­activity level can be found in the table on page 130. taxonomy-aligned CapEx CO 2 emissions by 2030. Our corporate climate target is below the limit value defined by the EU for a substan- Capital expenditure (CapEx) 2022 2023 tial contribution to climate change mitigation for spe- CapEx comprises all additions of tangible and intang­ in €m in % in €m in % cific gross CO 2 emissions of 469 kg CO 2 per tonne of ible assets, including leases but excluding goodwill and cement or alternative binders. In order to achieve our Taxonomy-non-eligible revaluations. CapEx thus results from the ad</t>
  </si>
  <si>
    <t>p. 128</t>
  </si>
  <si>
    <t>Corporate Governance Heidelberg Materials 2023 173 Corporate ­G overnance ­s tatement Composition of the Supervisory Board if necessary. The results of the meetings are recorded tem, any changes to the German Corporate Govern- in minutes, which are issued to all members of the Super- ance Code, sustainability within the company, and new, Shareholder representatives Employee representatives visory Board. Separate preliminary meetings of the future-oriented technologies. employee representatives are held regularly to prepare Dr Bernd Scheifele Heinz Schmitt for the meetings. The Supervisory Board also meets Supervisory</t>
  </si>
  <si>
    <t>p. 173</t>
  </si>
  <si>
    <t>Additional information Heidelberg Materials 2023 366 Independent Practitioner’s Report on a Limited Assurance Engagement on Non-financial Reporting and Sustainability Information Responsibility of the Assurance Practitioner – the selected ESG indicators denoted with “○” in the – Identification of likely risks of material misstatement Our responsibility is to express a conclusion with limit- “Additonal Information” section of the Company's in the Combined Non-financial Statement and the se- ed assurance on the Combined Non-financial State- Annual report are not prepared, in all material re- lected ESG indicators m</t>
  </si>
  <si>
    <t>p. 366</t>
  </si>
  <si>
    <t>efficiency which cement plants use old, energy- and thus emis- Production &amp; distribution processes, 2030 sion-intensive production processes, into line with building/recycling, modes of transport 2040 progress towards a net-zero economy. To make our 2050 business activities compatible with the necessary Technology transition to a net-zero economy and actively man- Change in products and services, 2030 age transition risks, we are already pursuing numer- investment in new technologies, carbon 2040 ous initiatives. These include our activities in relation footprint of new technologies 2050 to carbon capture, utilisation, and storage, invest- ments in the circular economy, and our use of renew- Transition risks: ﬁnancial risks that a</t>
  </si>
  <si>
    <t>Heidelberg Anuual:sus report 2024.pdf</t>
  </si>
  <si>
    <t>7.5 million as at the Bangladesh 8.1 8.1 20.5 % 22.1 % 17.8 % 19.4 % 5.5 % 5.5 % ­reporting date. India 203.3 209.4 15.9 % 15.1 % 12.0 % 12.7 % 4.0 % 4.0 % Thailand 33.4 35.9 11.7 % 12.0 % 9.6 % 9.9 % 2.0 % 2.0 % With a reduction of 1.6 percentage points in the Africa-Mediterranean-Western Asia 453.3 455.8 11.0 %–37.2 % 12.9 %–31.7 % 8.9 %–30.2 % 10.5 %–25.7 % 2.1 %–8.0 % 2.0 %–8.0 % growth rate, an increase in the WACC before taxes of Israel 67.9 77.0 11.0 % 12.9 % 8.9 % 10.5 % 2.1 % 2.1 % 1.7 percentage points, or a decline of 15.8 % in the Morocco 280.8 291.6 15.6 % 15.6 % 11.2 % 11.1 % 2.1 % 2.0 % planned result (EBIT) for each year of planning as Total 8,341.7 8,975.7 well as in the terminal value, the recoverable amount 1)</t>
  </si>
  <si>
    <t>p. 240</t>
  </si>
  <si>
    <t>in worldwide temperature to Sectoral Decarbonisation Approach (SDA) of the Sci- is very CO 2 -intensive. Therefore, the building materi- below 1.5°C. Reducing our own CO 2 emissions is our ence Based Targets initiative (SBTi) enables cement Breakthrough technologies als industry is one of the biggest producers of carbon greatest lever in the fight against climate change. manufacturers to set climate targets that are aligned dioxide emissions. As one of the leading companies with the 1.5-degree target of the Paris Agreement. At These technologies include new, ground-breaking the beginning of 2023, the Science Based Targets in- technologies such as carbon capture, utilisation, and itiative (SBTi) validated Heidelberg Materials’ 2030</t>
  </si>
  <si>
    <t>Non-financial statement | Environment | Climate change Heidelberg Materials 2024 125 As a last resort, if neither the emission factors for the In the cement business line, absolute Scope 1 CO 2 2020, the decrease for Scope 2 CO 2 emissions per 2 electricity supplier nor the residual mix emission fac- emissions remained constant compared with the pre- tonne of cementitious material corresponds to 12 %. tors are available, we use the location-based emis- vious year. Indirect market-based CO 2 emissions Scope 2 sion factors as a proxy. were reduced compared to 2023 and amount to Combined, a reduction of 8 % was achieved for Scope 4.2 million tonnes of CO 2 (previous year: 4.5). The 1 CO 2 emissi</t>
  </si>
  <si>
    <t>p. 125</t>
  </si>
  <si>
    <t>rials cific factors, we use recognised standard factors business line are at the previous year’s level and in lion tonnes of CO 2 (previous year: 0.25). we procure externally. These emissions cover only to calculate our Scope 3 CO 2 emissions. To improve our cement and aggregates business lines. In the data quality, we are continuously working on the CO2 emissions – aggregates business line case of purchased cement and clinker, we ask our data we use to calculate our Scope 3 CO 2 emissions. 2023 2024 Unit suppliers for the specific CO 2 emissions contained in their products. For other raw materials, such as In 2024, Scope 3 CO 2 emissions from purchased Scope 1 GHG emissions ­gypsum, we use standard factors from the GCCA ­fuels re</t>
  </si>
  <si>
    <t>name office ownership % ownership % Year 1) in € million 2) in € million 3) Company name office ownership % ownership % Year 1) in € million 2) in € million 3) Hanson Aggregates South Wales Limited Maidenhead, GB 100.00 2023 44.8 – Hanson Industrial (Engineering Holdings) Limited Maidenhead, GB 100.00 2023 6.2 – Hanson Aggregates UK Limited Maidenhead, GB 100.00 2023 0.3 –0.2 Hanson Industrial Limited Maidenhead, GB 100.00 2023 183.7 – Hanson America Holdings (1) Limited Maidenhead, GB 100.00 2023 0.0 – Hanson International Holdings Limited Maidenhead, GB 100.00 2023 2,924.3 50.4 Hanson America Holdings (2) Limited Maidenhead, GB 100.00 2023 35.5 – Hanson Island Management Limited St. Peter Port, GG 100.00 2023 –3.2 –0.6 Hanson Am</t>
  </si>
  <si>
    <t>p. 269</t>
  </si>
  <si>
    <t>us year: 95). The first tranche of the Heidelberg ment plant in Norway, which was completed on and granting of loans totalling €151 million. Invest- Materials AG 2024-2026 share buyback programme schedule in 2024. Major capital expenditure also re- ments for maintenance and optimising our capacities resulted in payments for the acquisition of treasury 13.6 lated to the modernisation of the kiln lines at our ce- amounted to €955 million (previous year: 1,059), and shares totalling €350 million in the financial year. In ment plants in Airvault, France, and Mokra, Czechia. €1,187 million (previous year: 791) related to capacity the previous year, treasury shares were repurchased 6.1 ● Cement expansions. for a total of €298 million un</t>
  </si>
  <si>
    <t>To our stakeholders | Corporate Governance statement Heidelberg Materials 2024 21 Diversity concept for the Managing Board addition to the requirements of the AktG and the the Managing Board and the Supervisory Board is Composition of the Supervisory Board German Corporate Governance Code, the target set shaped by mutual trust and a culture of open debate The requirements for filling a Managing Board position by the Supervisory B oard for the proportion of wom- while fully protecting confidentiality. Shareholder representatives Employee representatives include, among others, many years of inter­national en on the Managing Board and the criteria laid out in management experience at Heidelberg Materials or the d</t>
  </si>
  <si>
    <t>Consolidated financial statements | A  ssurance Report of the Independent German Public ­A uditor on a Limited Assurance Engagement in Relation to the Combined Non-financial Statement Heidelberg Materials 2024 290 included in the Group Management Report Assurance Report requirements of Article 8 of Regulation (EU) 2020/852 The procedures in a limited assurance engagement Company. They are also responsible for the design, of the Independent (hereinafter the „Combined Non-Financial Repor- vary in nature and timing from, and are less in extent implementation and maintenance of such internal ting“) for the financial year from 1</t>
  </si>
  <si>
    <t>p. 290</t>
  </si>
  <si>
    <t>along the Energy source entire value chain. The analysis is performed by inter- Emissions, policy incentives/carbon 2030 nal subject matter experts. A working group assess- markets, decentralised energy generation 2040 2050 es the transition risks and opportunities as low, me- dium, or high, depending on the transition topic. In a Markets deviation from the physical climate-related risks, the Customer behaviour, cost of raw materials, 2030 assessment is based on the SSP1-1.9 scenario, while new markets 2040 scenarios SSP2-4.5 and SSP5-8.5 continue to serve 2050 as a basis for assessment. Policy and legal Price of GHG emissions, emissions reporting 2030 The general risk management approach for cli- obligations, regulation of produ</t>
  </si>
  <si>
    <t>Heidelberg Anuual:sus report 2025.pdf</t>
  </si>
  <si>
    <t>p. 104</t>
  </si>
  <si>
    <t>assumptions were applied in the carrying amount to exceed the recoverable amount. determination of the recoverable amount based on Management does not rule out such a develop- the value in use for the CGU. ment. With a reduction of the growth rate of around 0.8 percentage points for the CGU France and Goodwill impairment test assumptions around 1.9 percentage points for the CGU India, the Carrying amount Weighted average cost Weighted average cost recoverable amount corresponds to the respective Group area/CGU 1) or group of CGUs of goodwill in €m of capital before taxes 2) of capital after taxes 2) Perpetual growth rate carrying amount. With a decline in the planned re- 31 Dec. 2024 31 Dec. 2025 31 Dec. 2024 31 Dec. 2025 31 Dec.</t>
  </si>
  <si>
    <t>p. 248</t>
  </si>
  <si>
    <t>arget of limiting the rise in worldwide 2030 and 2050 have been recognised as science-­ In the 2025 financial year, we created a Climate Tran- temperature to below 1.5 ° C. based by the Science Based Targets initiative (SBTi). sition Plan, which outlines Heidelberg Materials’ path The production of cement, the “binder” in concrete, Our 2050 CO 2eq reduction targets and the 2030 to net zero in 2050. Our Climate Transition Plan has is very CO 2 -intensive. Therefore, the building materi- Reducing our own CO 2eq emissions is our most im- Scope 1 and 2 CO 2eq reduction targets are in line been approved by the Managing Board and Supervi- als industry is one of the world’s biggest producers portant contribution to the fight against clim</t>
  </si>
  <si>
    <t>enable 2026 financial year, we expect a reduction of around Specific market-based Scope 2 GHG emissions 44 39 38 kg CO2eq/t GCCA us to make the energy supply more cost-effective 15% compared with 2020. Overall, specific Scope 1 Aggregates business line and sustainable while avoiding regulated costs. and Scope 2 CO 2eq emissions in the 2025 financial million t year were reduced by 10% compared with 2020. Absolute location-based Scope 2 GHG emissions – 0.24 0.25 CO2eq E1-6 49a We also often use PPAs for off-site projects in which million t Absolute market-based Scope 2 GHG emissions – 0.24 0.25 CO2eq E1-6 49b renewable energy is generated at another location Absolute market-based Scope 2 emissions in the ag- Other business lines 2)</t>
  </si>
  <si>
    <t>Sustainability report | Environment | E1 – Climate change Heidelberg Materials 2025 119 Scope 3 To improve data quality, we continuously collect Scope 3 greenhouse gas emissions (GHG) Our Scope 3 CO 2eq emissions are assessed and re- ­activity data that we use to calculate our Scope 3 Baseline ported in accordance with the criteria of the GHG CO 2eq emissions. The share of primary data used to value 2024 2025 Unit Reference Protocol. We conducted an in-depth analysis of the calculate emissions was around 68% in 2025. million t 15 Scope 3 categories of the GHG Protocol. In this Total gross indirect (Sc</t>
  </si>
  <si>
    <t>p. 119</t>
  </si>
  <si>
    <t>and the ready- Financing activities generated a cash outflow of Cash flow from operating activities 3,232 3,255 23 mixed concrete operating line of the Elvin Group in €1,552 million in the reporting year (previous year: Investments (cash outflow) –2,143 –2,485 –342 Australia. 1,450). The continuation of the progressive dividend Divestments (cash inflow) 330 274 –56 policy at Heidelberg Materials AG resulted in a divi- Cash flow from investing activities –1,813 –2,211 –398 Investments in financial assets, associates, and joint dend payment of €589 million (previous year: 546). Capital increase of non-controlling interests 32 18 –14 ventures amounting to €178 million (previous year: Dividend payments to non-controlling interests in-</t>
  </si>
  <si>
    <t>To our stakeholders | Corporate Governance statement Heidelberg Materials 2025 19 addition to the requirements of the AktG and the Managing Board and the Supervisory Board is shaped Composition of the Supervisory Board to all members of the Supervisory Board. Separate German Corporate Governance Code, the target set by mutual trust and a culture of open debate while preliminary meetings of the employee representa- by the Supervisory B oard for the proportion of wom- fully protecting confidentiality. Shareholder representatives Employee representatives tives are held regularly to prepare for the meetings. en on the Managing Board and the criteria laid out in The Supe</t>
  </si>
  <si>
    <t>Consolidated financial statements | Assurance Report of the Independent German Public ­A uditor on a Limited ­A ssurance Engagement in Relation to the Group Sustainability Report Heidelberg Materials 2025 300 Assurance Report The reports of other assurance practitioners in rela- We do not express an assurance conclusion on refe- ­Auditors in Germany; IDW). We believe that the evi- of the Independent tion to the assurance of information, from sources rences in the Group Sustainability Report to assuran- dence we have obtained is sufficient and appropr</t>
  </si>
  <si>
    <t>p. 300</t>
  </si>
  <si>
    <t>and proactive (ρ) 2030 is more significant in the 1.5°C scenario. However, the pathways assessed. scenario avoids the greater negative impacts from the physical risks associated with higher temperature rise scenarios in 2050 We first undertook scenario analysis in 2017 on 2°C and 4°C and beyond. scenarios. In 2021, we completed a 1.5°C scenario analysis. Potential financial impact on Financial quantification of assessed risks and opportunities profit in the year (€bn) (a) Regulatory and Market Risks Key assumptions Sensitivity 2030 2039 2050 1. Carbon tax and voluntary carbon ■ Absolute zero Scope 1 and 2 emissions removal costs by 2030 ■ Scope 3 emissions exclude consumer use emissions ρ -3.2 -5.2 -6.1 We quantified how high pric</t>
  </si>
  <si>
    <t>Unilever annual report 2022.pdf</t>
  </si>
  <si>
    <t>ts Note 2022 2021 2020 (a) Net zero GHG emissions across our value chain by 2039 (million tonnes CO2e) 1 34.31 33.74 35.67 Scope 1 and 2 GHG emissions (Unilever operations) Reduce GHG emissions in our operations by 100% by 2030 (reduction in emissions from (b) † energy and refrigerant use in our operations since 2015) 2 '-68% -64% -58% (b) 100% renewable electricity in our operations 3 93% 86% 80% (b) † Energy use in GJ per tonne of production in our manufacturing sites 1.22 1.23 1.21 (b) † CO2 emissions from energy use in kg per tonne of production in our manufacturing sites 30.35 34.06 38.93 (a) 100% EVs or hybrids in our global car fleet by 2030 8% – – Scope 1, 2 and 3 GHG emissions (Unilever operations, upstream and downstream</t>
  </si>
  <si>
    <t>- Corporate Governance Board focus ■ approved the notice of meeting for the AGM; ■ approved the Governance of Unilever and Committee terms During the year, the Board considered a comprehensive of reference; and programme of regular matters drawn from the schedule ■ considered the work of the Nominating and Corporate of matters reserved for the Board and the immediate and Governance Committee on Board composition and prospective operating environment. The schedule below is not exhaustive and demonstrates the breadth of oversight succession planning and</t>
  </si>
  <si>
    <t>- Planet &amp; Society: Climate Transition Action Plan Annual Progress Report GHG emissions consist of our measured Scope 1 and 2 value chain GHG emissions figure by a simple extrapolation emissions plus an estimate of our Scope 3 emissions. of the calculated GHG emissions from the 14 countries. Scope 1 encompasses direct GHG emissions from energy As set out in our CTAP, and in line with the SBTi’s approach, generated from fossil fuels such as gas and oil, as well as the GHG emissions included in the scope of our net zero target emissions from refrigerants. Scope 2 encompasses indirect ('our GHG emissions') exclude the indirect</t>
  </si>
  <si>
    <t>p. 43</t>
  </si>
  <si>
    <t>- Planet &amp; Society: Climate Transition Action Plan Annual Progress Report GHG emissions consist of our measured Scope 1 and 2 value chain GHG emissions figure by a simple extrapolation emissions plus an estimate of our Scope 3 emissions. of the calculated GHG emissions from the 14 countries. Scope 1 encompasses direct GHG emissions from energy As set out in our CTAP, and in line with the SBTi’s approach, generated from fossil fuels such as gas and oil, as well as the GHG emissions included in the scope of our net zero target emissions from refrigerants. Scope 2 encompasses indirect ('our GHG emissions') exclude the indirect consumer use GHG emissions from the on-site generation and purchase emissions associated with our products.</t>
  </si>
  <si>
    <t>- Consolidated Financial Statements Unilever Group 16B. Management of market risk continued Potential impact of risk Management policy and Sensitivity to the risk hedging strategy Currency risk on the Group’s net investments Unilever aims to minimise this currency risk on Impact on equity – net investment hedges the Group’s net investment exposure by The Group is also subject to currency risk A 10% strengthening of the euro against borrowing in local currency in the operating in relation to the translation of the net other currencies would have led to companies themselves. In some locations, investments of its foreign operations into €280 million (2021: €303 million) loss in the however, the Group’s ability to do this is eu</t>
  </si>
  <si>
    <t>p. 193</t>
  </si>
  <si>
    <t>Corporate Governance Board commitment All the Non-Executive Directors are considered to have the appropriate skills, knowledge, experience and character to All Directors are expected to attend each Board meeting bring objective and constructive judgement and valuable and each Committee meeting of which they are members, insights to the Board’s deliberations. The Board has concluded unless there are exceptional reasons preventing them from that all the Non-Executive Directors were independent during participating. Only members of the Co</t>
  </si>
  <si>
    <t>Planet &amp; Society: Climate Transition Action Plan Annual Progress Report - Progress against climate metrics and targets The table below shows our progress against the key metrics and targets that we are currently able to measure. Refer to pages 35 to 38 for further details on our progress. Metrics and targets Note 2022 2021 2020 (a) Net zero GHG emissions across our value chain by 2039 (million tonnes CO2e) 1 34.31 33.74 35.67 Scope 1 and 2 GHG emissions (Unilever operations) Reduce GHG emissions in our operations by 100% by 2030 (reduction in emissions from (b) † energy</t>
  </si>
  <si>
    <t>tal Scope 1 and 2 GHG emissions 0.62 0.71 0.82 Reduction in Scope 1 and 2 GHG emissions from energy and refrigerant use in our † operations since 2015 (%) '-68% -64% -58% † This metric was subject to independent limited assurance by PricewaterhouseCoopers LLP (‘PwC’) in 2022. For PwC's 2022 Limited Assurance report and the 2022 Unilever Basis of Preparation for assured metrics, see www.unilever.com/planet-and-society/sustainability-reporting-centre/independent-assurance. (a) Measured for the 12 month period ended 30 September. 40 Unilever Annual Report and Accounts 2022 | Strategic Report – Review of the Year</t>
  </si>
  <si>
    <t>impact assessment of carbon tax and voluntary carbon removal costs based on i) restated 2021 baseline emissions, ii) an assumption that we achieve 90% reduction by 2050 and iii) only carbon removals are used to achieve net zero goals (no offsets). Our current internal carbon price of €70 per tonne, reviewed annually, is based on the range and expected increase from the High-Level Commission on Carbon Pricing’s report, released in 2017, concluding on a carbon price of $40-$80 per tonne of CO2e by 2020, rising to $50-$100 per tonne by 2030. The carbon prices used for our 1.5°C scenario analysis for the medium to long term (2030–2050) range from $90/tonne to $250/tonne across the proactive and reactive pathways. These are based on t</t>
  </si>
  <si>
    <t>Unilever annual report 2023.pdf</t>
  </si>
  <si>
    <t>p. 57</t>
  </si>
  <si>
    <t>ies across our full value chain. Two of our near-term targets are validated as science-based by the Science Based Targets initiative ('SBTi'): ■ Reduce in absolute terms our operational (Scope 1 and 2) emissions by 100% by 2030 against a 2015 baseline and; ■ Halve the full value chain emissions (Scope 1 to 3) of our products on a per consumer use basis by 2030 against a 2010 baseline. In addition, we have an interim target to reduce in absolute terms our operational emissions (Scope 1 and 2) by 70% by 2025 against a 2015 baseline. While our operational target is validated by the SBTi as aligned with the 1.5°C ambition of the Paris Agreement, our full value chain target is validated by SBTi as aligned with limiting temperature incr</t>
  </si>
  <si>
    <t>use several key metrics and targets to assess and manage climate risks and opportunities across our full value chain. Two of our near-term targets are validated as science-based by the Science Based Targets initiative ('SBTi'): ■ Reduce in absolute terms our operational (Scope 1 and 2) emissions by 100% by 2030 against a 2015 baseline and; ■ Halve the full value chain emissions (Scope 1 to 3) of our products on a per consumer use basis by 2030 against a 2010 baseline. In addition, we have an interim target to reduce in absolute terms our operational emissions (Scope 1 and 2) by 70% by 2025 against a 2015 baseline. While our operational target is validated by the SBTi as aligned with the 1.5°C ambition of the Paris Agreement, our f</t>
  </si>
  <si>
    <t>EGIC REPORT CORPORATE GOVERNANCE FINANCIAL STATEMENTS Review of the Year Notes on metrics and targets Note 1: Analysis of GHG emissions 2023 – 2022 GHG emissions (million tonnes CO2e) 2023 2022 2021 % change (a) (b) (b) Scope 1 and 2 GHG emissions: Unilever operations (Note 2) 0.73 0.81 0.91 -10% (a) (b) (b) Scope 3 GHG emissions in scope of our net zero ambition 52.13 52.82 55.34 -1% Purchased goods and services 41.47 41.15 43.35 1% Raw materials and ingredients – Forest Land and Agriculture (FLAG) 12.18 12.32 13.09 -1% Raw materials and ingredients – Energy and Industrial (E&amp;I) 15.35 15.71 16.93 -2% Packaging materials 5.60 5.84 6.06 -4% Indirect procurement 8.34 7.28 7.27 15% Upstream transport and distribution (logistics) 1.57</t>
  </si>
  <si>
    <t>and targets Note 1: Analysis of GHG emissions 2023 – 2022 GHG emissions (million tonnes CO2e) 2023 2022 2021 % change (a) (b) (b) Scope 1 and 2 GHG emissions: Unilever operations (Note 2) 0.73 0.81 0.91 -10% (a) (b) (b) Scope 3 GHG emissions in scope of our net zero ambition 52.13 52.82 55.34 -1% Purchased goods and services 41.47 41.15 43.35 1% Raw materials and ingredients – Forest Land and Agriculture (FLAG) 12.18 12.32 13.09 -1% Raw materials and ingredients – Energy and Industrial (E&amp;I) 15.35 15.71 16.93 -2% Packaging materials 5.60 5.84 6.06 -4% Indirect procurement 8.34 7.28 7.27 15% Upstream transport and distribution (logistics) 1.57 1.81 1.91 -13% Ice cream cabinets 2.30 2.93 3.09 -22% Direct consumer use 1.48 1.46 1.23</t>
  </si>
  <si>
    <t>s to the Consolidated Financial Statements Unilever Group 16B. Management of market risk continued Potential impact of risk Management policy and Sensitivity to the risk hedging strategy Currency risk on the Group’s net investments Unilever aims to minimise this currency risk on Impact on equity – net investment hedges the Group’s net investment exposure by The Group is also subject to currency risk A 10% strengthening of the euro against borrowing in local currency in the operating in relation to the translation of the net other currencies would have led to companies themselves. In some locations, investments of its foreign operations into €260 million (2022: €280 million) loss in the however, the Group’s ability to do this is eu</t>
  </si>
  <si>
    <t>p. 215</t>
  </si>
  <si>
    <t>STRATEGIC REPORT CORPORATE GOVERNANCE FINANCIAL STATEMENTS Corporate Governance overview Unless authorised by the Board, together with compliance with any It was concluded that the Board operated effectively and that restrictions that have been required of such a Director, a Director the Board processes on the provision of information worked may not take part in the decision-taking process of the Board in well. The Board’s knowledge and assessment of financial respect of any situation in which he or she has a conflict of interest. controls and key risks was strong and the processes for The Board consider the procedures that ha</t>
  </si>
  <si>
    <t>ubject to an advisory shareholder vote at our 2024 AGM. We also set an ambition to achieve net zero emissions by 2039 and have additional nature and plastic goals which play an important role in tackling climate change. Progress against climate metrics and targets The table below shows our progress against the key climate metrics and targets – see pages 43 to 45 for progress commentary. Additionally, see page 66 for progress against our plant-based and food waste goals. Metrics and targets Note 2023 2022 2021 (a) (b) (b) GHG emissions in scope of net zero ambition (million tonnes CO2e) 1 52.86 53.63 56.25 Scope 1 and 2 GHG emissions (Unilever operations) Reduce GHG emissions in our operations by 100% by 2030 (reduction in emission</t>
  </si>
  <si>
    <t>t zero ambition 52.86 53.63 56.25 -1% Scope 3 GHG emissions – indirect consumer use 47.07 57.54 64.87 -18% † Total Scope 1, 2 and 3 GHG emissions 99.93 111.17 121.12 -10% † This metric was subject to independent limited assurance by PricewaterhouseCoopers LLP (‘PwC’) in 2023. For PwC's 2023 Limited Assurance report and the 2023 Unilever Basis of Preparation for assured metrics, see Independent Assurance in the Sustainability Reporting Centre on unilever.com. (a) Measured for the 12-month period ended 30 September. (b) Restated for 2021 and 2022. See below for further detail. (c) Includes Fuel and Energy related services, Capital goods, Waste generated in operations, Employee commuting, Business travel, Franchises, Downstream Trans</t>
  </si>
  <si>
    <t>9 2050 Carbon taxes impact the price Gross risk of raw materials. ■ 1.5°C: Carbon price increases from USD 70/T in 2025, reaching USD 250/T (a) Gross -5.3 (-8.4%) -9.0 (-11.1%) -14.2 (-12.9%) by 2050, based on the IEA’s Net Zero . 2050 Scenario. ■ &lt;2°C: Carbon price increases from USD 0/T in 2030, reaching USD 200/T by 1.5°C 2050, based on the IEA’s Announced Pledges Scenario. ■ Carbon tax mechanisms are Net -2.6 (-4.2%) -3.9 (-4.8%) -1.0 (-0.9%) implemented in all regions uniformly. ■ Both carbon taxes and carbon removals costs are paid from 2039. Net risk ■ We achieve 90% reduction in Gross 0.0 (0.0%) -7.1 (-8.8%) -11.3 (-10.3%) emissions versus our 2021 baseline by 2050; carbon removals are purchased from 2039 to 2050 to neutra</t>
  </si>
  <si>
    <t>Unilever annual report 2024.pdf</t>
  </si>
  <si>
    <t>5 vs. 2015 vs. 2015 (a)(b) (a)(c) Scope 1 and 2 GHG emissions – Unilever operations (million tonnes CO2e) % reduction baseline baseline baseline baseline Reduce absolute operational GHG emissions (Scope 1 and 2) by 100% by 2030 -100% 2.01 -72% -70% -63% from a 2015 baseline (a) 2023 and 2022 measured for 12-month period ended 30 September. (b) Restated from 74% in 2023 due to change in measurement methodology (see below). (c) Restated from 68% in 2022 due to change in measurement methodology (see below). In 2023, we improved our GHG measurement methodology, with a more complete and accurate measurement of emissions categories previously deemed immaterial. In 2024, to comply with SBTi guidelines, some of these emission categories (</t>
  </si>
  <si>
    <t>p. 246</t>
  </si>
  <si>
    <t>om our operations (Scope 1 and 2) and our value chain (Scope 3). Our Scope 1 and 2 target was set versus a 2015 baseline using the market-based approach and was validated in 2017 by the Science Based Targets initiative (SBTi) as compatible with a 1.5°C pathway in line with the Paris Agreement. In 2024, SBTi validated that our proposed Scope 3 targets conform with the SBTi Criteria and Recommendations (Criteria version 5.1). We selected a more recent baseline date of 2021 for our Scope 3 targets, for which we have more accurate data. We regularly review our approach with SBTi. Scope of target Target Timeline Scope 1 and 2 emissions from our operations 100% reduction By 2030, against a 2015 baseline Scope 3 energy and industrial GHG</t>
  </si>
  <si>
    <t>p. 236</t>
  </si>
  <si>
    <t>es. Emission category 10 (Processing of sold products) and Emission category 15 (Investments) are not reported as they are not material. % change vs. (a) (a) (a) Emissions (million tonnes CO2e) 2024 2023 2022 2023 Total Scope 1 and 2 GHG emissions (market-based) 0.69 0.75 0.87 -8% (b)(c) Gross Scope 1 GHG 0.48 0.57 0.64 -14% (b) Gross market-based Scope 2 GHG emissions 0.21 0.18 0.23 16% (b) Gross location-based Scope 2 GHG emissions 1.26 1.16 1.26 9% (c)(d) Scope 3 GHG emissions in scope of our net zero ambition 53.80 52.13 52.82 3% Purchased goods and services 41.79 41.47 41.15 1% Raw materials and ingredients 26.88 27.53 28.03 -2% Packaging materials 6.37 5.60 5.84 14% Indirect procurement 8.54 8.34 7.28 2% Upstream transportat</t>
  </si>
  <si>
    <t>d our first industrial-scale electric boiler at our Nepal factory. Our Sustainability Progress Index (SPI) climate goal (Scope 1 and 2) performance, for internal remuneration purposes, was 76.5% as detailed on page 105. Scope 3 target performance Scope 3 Energy and Industrial GHG target – 42% absolute reduction in SBTi Scope 3 E&amp;I GHG emissions by 2030 The percentage change in Scope 3 Energy and Industrial (E&amp;I) GHG emissions is the difference between the current reporting period and the 2021 baseline period (1 October 2020 to 30 September 2021). Emissions are categorised according to the GHG Protocol Corporate standard and include those from ingredients and packaging purchased by Unilever, ingredients and packaging from collabora</t>
  </si>
  <si>
    <t>STRATEGIC REPORT CORPORATE GOVERNANCE FINANCIAL STATEMENTS SUSTAINABILITY STATEMENTS ENVIRONMENTAL DISCLOSURES Scope 1 and 2 target performance The percentage change in Scope 1 and 2 market-based GHG emissions is the difference between the current reporting period and the 2015 baseline period (1 October 2014 to 30 September 2015). Gross Scope 1, 2, 3 and total GHG emissions calculation methodology is disclosed on page 244. Exclusions: All emissions from biogenic fuels and owned or leased vehicles controlled by Unilever are excluded from the target scope in line with the SBTi minimum scope requirement. 2024 2023 2022 % chang</t>
  </si>
  <si>
    <t>S TO THE CONSOLIDATED FINANCIAL STATEMENTS UNILEVER GROUP 16B. MANAGEMENT OF MARKET RISK continued Management policy and Potential impact of risk hedging strategy Sensitivity to the risk Currency risk on the Group’s net investments Unilever aims to minimise this currency risk Impact on equity – net investment hedges The Group is also subject to currency risk on the Group’s net investment exposure by A 10% strengthening of the euro against other in relation to the translation of the net borrowing in local currency in the operating currencies would have led to €162 million investments of its foreign operations into companies themselves. In some locations, (2023: €260 million) loss in the equity on the euros for inclusion in its cons</t>
  </si>
  <si>
    <t>p. 181</t>
  </si>
  <si>
    <t>lity, covering social, human case they will offer themselves for election at the next AGM). rights, business conduct and environmental matters, is detailed in the Sustainability Statement and this Governance Report. The Corporate Responsibility Committee, under the COMPOSITION, BALANCE AND INDEPENDENCE Board’s governance, primarily handles these issues. The Chief Corporate Affairs and Sustainability Officer attends OF THE BOARD all Corporate Responsibility Committee meetings, ensuring As at 31 December 2024, the Unilever Board comprised external expertise is included as needed. The Committee Chair nine Directors: the Chair, two Executive Directors and six ensures that the Board receives relevant information in the independent Non-</t>
  </si>
  <si>
    <t>p. 74</t>
  </si>
  <si>
    <t>STRATEGIC REPORT CORPORATE GOVERNANCE FINANCIAL STATEMENTS SUSTAINABILITY STATEMENTS ENVIRONMENTAL DISCLOSURES METRICS AND TARGETS Targets Our near-term 2030 targets to reduce our GHG emissions have been set in accordance with a cross-sector emissions pathway and the draft GHG Protocol Land Sector and Removals guidance and align with the near-term time horizon of 2030 considered in our resilience analysis. Our targets that relate to the risks associated with land use pressure and regulation and product regulations and claims are addressed within Biodiversity and Ecosystems on page 256. We set our climate targets for the entities and ac</t>
  </si>
  <si>
    <t>STRATEGIC REPORT CORPORATE GOVERNANCE FINANCIAL STATEMENTS SUSTAINABILITY STATEMENTS KPMG LLP'S INDEPENDENT ASSURANCE REPORT For a number of these areas, for example Scope 3 GHG emissions and In conducting our limited assurance engagement with respect to the Pollution of Air, Water and Soil, there are significant limitations in the Sustainability Statement, the procedures we performed included: availability and quality of data available, resulting in the Company’s ■ Obtaining an understanding of the Company’s reporting processes reliance on proxy data in determining these estimated amounts. Over relevant to the preparati</t>
  </si>
  <si>
    <t>tive Risk Rating Very low &lt;1.5% Low 1.5 – &lt;3.5% Medium 3.5 – &lt;6.5% High 6.5 – 8.0% Very high &gt;8.0% Financial Impact w.r.t. revenue (%) Changing climate and extreme weather events (physical risk) &lt;2˚C &lt;3˚C &gt;4˚C 2030 2039 2050 2030 2039 2050 2030 2039 2050 Assumptions Increased drought and Gross water scarcity impacting Gross: Crops (including paper and board): Food and Agriculture crop growth. Net Organization (FAO) crop production data trends from 2015 to 2050 are used to extrapolate projections up to 2070; rainfed crop production Gross data is used where available, irrigated data is used otherwise; crop Extreme temperatures categories from FAO soil erosion data are mapped to Unilever crops; impacting agricultural crops are assign</t>
  </si>
  <si>
    <t>Unilever annual report 2025.pdf</t>
  </si>
  <si>
    <t>p. 228</t>
  </si>
  <si>
    <t>demerger of the Ice Cream business. (b) The scaling and innovation gap represents the amount of GHG emissions for which we need to develop new or scale existing solutions. (c) Represents 15.7m CO2eT of total reductions by 2030 vs. 2021 baseline plus additional reductions to cater for emissions from growth in the period 2021–2030. Scope 1 and 2 target performance The percentage change in scope 1 and 2 market-based GHG emissions is the difference between the current reporting period and the 2015 baseline period (1 October 2014 to 30 September 2015). Gross scope 1, 2, 3 and total GHG emissions calculation methodology is disclosed on page 231. Exclusions: All emissions from biogenic fuels and owned or leased vehicles controlled by Un</t>
  </si>
  <si>
    <t>p. 232</t>
  </si>
  <si>
    <t>of preparation, the viability prospective operating environment. statement, and the reporting of non-financial KPIs with respect to sustainability reporting; The Board also conducted a two-day Strategy Review exercise ■ approved each of the quarterly results and the Annual Report in October 2025, including presentations and engagement sessions with ULE members and other senior management. and Accounts and Form 20-F; This focused in particular on: ■ approved the notice of meeting for the AGM; ■ the macro environment and opportunities for growth; ■ oversaw consultation and communication with shareholders ■ the continued development of Unilever’s go-to-market on executive pay; and operations in key markets; ■ considered the work of t</t>
  </si>
  <si>
    <t>ENVIRONMENTAL DISCLOSURES Allocation to Ice Cream Scope 1 and 2 emissions: Emissions from dedicated manufacturing and logistics sites and owned vehicles. Scope 3 emissions – Category 1: Ingredients and packaging purchased and used by Unilever: estimated based on proportion of ingredient and packaging materials used in Ice Cream finished goods, using information such as product recipes and production volumes. Where such information is unavailable, allocation is based on dedicated manufacturing sites. Ingredients and packaging used by CMs: based on finished goods su</t>
  </si>
  <si>
    <t>p. 235</t>
  </si>
  <si>
    <t>ENVIRONMENTAL DISCLOSURES Allocation to Ice Cream Scope 1 and 2 emissions: Emissions from dedicated manufacturing and logistics sites and owned vehicles. Scope 3 emissions – Category 1: Ingredients and packaging purchased and used by Unilever: estimated based on proportion of ingredient and packaging materials used in Ice Cream finished goods, using information such as product recipes and production volumes. Where such information is unavailable, allocation is based on dedicated manufacturing sites. Ingredients and packaging used by CMs: based on finished goods supplied by CMs categorised as Ice Cream products. Indirect procurement spend: based on proportion of cost</t>
  </si>
  <si>
    <t>S TO THE CONSOLIDATED FINANCIAL STATEMENTS UNILEVER GROUP 16B. MANAGEMENT OF MARKET RISK continued Management policy and Potential impact of risk hedging strategy Sensitivity to the risk Currency risk on the Group’s net investments Unilever aims to minimise this currency risk Impact on equity – net investment hedges The Group is also subject to currency risk in on the Group’s net investment exposure by A 10% strengthening of the euro against other relation to the translation of the net investments borrowing in local currency in the operating currencies would have led to €43 million of its foreign operations into euros for inclusion companies themselves. In some locations, (2024: €162 million) loss in the equity on the in its conso</t>
  </si>
  <si>
    <t>ts, when assessing Directors for proposed re-election, as well as in business conduct and environmental matters, is detailed in relation to Board composition. the Sustainability Statement and this Governance Report. The Corporate Responsibility Committee, under the Board’s The outcome of the evaluation of the Board’s Committees is governance, primarily handles these issues. The Chief Corporate referred to in each Committee Report. Affairs and Communications Officer attends all Corporate Responsibility Committee meetings, ensuring external expertise is included as needed. The Committee Chair ensures that the Board receives relevant information in the form of briefing Governance Report Unilever Annual Report and Accounts 2025 57</t>
  </si>
  <si>
    <t>023 measured for 12-month period ended 30 September. Despite headwinds in the reduction of our scope 1 and 2 GHG emissions, driven by vertical integration projects and manufacturing network changes, we continued to make progress in lowering our operational emissions through interventions such as those highlighted on page 227. Our Sustainability Progress Index (SPI) climate goal performance, for internal remuneration purposes, was 76.6%, as detailed on page 97. We improved our GHG measurement accuracy through a more granular estimation methodology for emissions from decentralised business units. Additionally, we incorporated smaller offices and warehouses into our Energy Attribute Certificate (EAC) procurement processes. The demerg</t>
  </si>
  <si>
    <t>SUSTAINABILITY STATEMENT LIMITED ASSURANCE REPORT The quantification process relating to information presented within the In conducting our limited assurance engagement, with respect to the Sustainability Statement is subject to: scientific uncertainty, which arises Process, the procedures we performed included: because of incomplete scientific knowledge about the measurement; and ■ Obtaining an understanding of the Process by: estimation (or measurement) uncertainty resulting from the measurement ■ Performing inquiries to understand the sources o</t>
  </si>
  <si>
    <t>p. 275</t>
  </si>
  <si>
    <t>Activities are progressing at full speed, but in different phases across leader and with the resources available to our businesses, as detailed on the following pages covering our Ocean, us – to do all we can to get to net zero Logistics &amp; Services, Terminals and strategic brands. operations as fast as possible and to help our In 2022, our climate provided the starkest warnings yet about the A positive external development in 2022 was the launch in December customers decarbonise their global supply importance of acting with urgency to address greenhouse gas (GHG) of the long-awaited Science Based Targets initiative (SBTi) guidance for chains end to end. emissions before we as a global community overshoot the 1.5°C the maritime tr</t>
  </si>
  <si>
    <t>Maersk annual report 2022.pdf</t>
  </si>
  <si>
    <t>to our baseline year in 2020 due to continued global supply chain disruptions, port congestions and capacity constraints during 2022, among others resulting in a decrease in transport 3.2 Climate change intensity (EEOI) by 2030 (2020 % reduction -7 -6 0 - work. The carbon intensity is 1% higher in 2022 compared to 2021, which was also a challenging year. This KPI replaces the previously reported ‘Relative baseline)* CO₂ reduction (percentage vs 2008 baseline). Terminals: Reduction of scope 1 We have reduced our absolute scope 1 and 2 emissions by 5.4% in 2022 compared to our baseline year in 2020. This is mainly driven by reductions in 3.3 Climate change and 2 emissions by 2030 (2020 % reduction 5.4 - 0 - scope 2 emissions through</t>
  </si>
  <si>
    <t>e external development in 2022 was the launch in December customers decarbonise their global supply importance of acting with urgency to address greenhouse gas (GHG) of the long-awaited Science Based Targets initiative (SBTi) guidance for chains end to end. emissions before we as a global community overshoot the 1.5°C the maritime transport sector. Maersk was part of the technical working pathway. From record heatwaves in Europe and the Middle East, group consulting on the methodology and based on our insights into the UN SDGs flooding that left one third of Pakistan under water, extreme rainfall draft, we expect that our current targets are in line with the SBTi goal of and floodings in West and Central Africa, drought in China t</t>
  </si>
  <si>
    <t>345 469,6031 434,0941 463,815 (excl. biofuels). Greenhouse Gas (GHG) Emissions (1,000 tonnes CO2e) Direct GHG emissions 1,000 tonnes 2.1 Climate change 34,150 36,5961 33,9731 36,204 In 2022, we recorded a 7% decrease in scope 1 emissions compared to 2021. This is mainly driven by a similar reduction in fuel consumption. (scope 1 GHG protocol) CO2e Indirect GHG emissions (scope 2 1,000 tonnes 2.2 Climate change 356 3511 3241 287 GHG protocol) - location-based CO2e Maersk’s location-based scope 2 emissions increased by 1% and the market-based emissions decreased by 1% in 2022 compared to 2021. These developments are mainly driven by an increase in consumption of renewable electricity from the grid and a decrease in electricity consu</t>
  </si>
  <si>
    <t>y / district heating and renewable energy data and includes our capital investments such as e.g. retrofit of that is consumed/combusted at Maersk-controlled entities/vessels. vessels and dry docking. We include the full scope 3 impact the first Improved scope 3 methodology Renewable energy consumption is the amount of energy from solar year of a Capex investment. Category 3 - fuel and energy-related In 2022, the following improvements were undertaken to improve panels, wind turbines, biomass and batteries that is consumed at activities, which are reported based on actual fuel procured and Maersk’s understanding and overview of its scope 3 emissions: Maersk-controlled entities/vessels and used for electricity or heating. consumed.</t>
  </si>
  <si>
    <t>es Introduction I Strategy and Governance I Progress on ESG I Data and assurance based on registrations in Maersk’s Learning Management system as report those as Opex for EU Taxonomy purposes. This is currently revenue, Capex and Opex registered on these activity codes is assessed of 17 January 2023, and completion data up until this date. the best available Opex number in our financial accounts that is to be eligible or non-eligible and allocated accordingly. related to the Opex KPI definition in the regulation according to our Accounting policies – economic performance understanding. Hence, for 2022, total Opex is the same as eligible The denominator for the eligibility KPIs has been defined as: Opex and consequently, we report</t>
  </si>
  <si>
    <t>ESG I Data and assurance Governance of ESG in A.P. Moller - Maersk in 2022² How the ESG strategy is governed As illustrated in the governance model on this page, responsibility is ultimately anchored with the company’s Board of Directors who Board of Directors endorse the overall ESG strategy and approve major investments Endorses ESG strategy as part of annual strategy review such as the green methanol-enabled vessels. The Audit Committee takes an active role to ensure oversight of key ESG risks, and during 2022 has received regular updates on sustainability and ESG Executive Leadership Team reporting process development. Furthermore, the Remuneration BOARD COMMITTEES (ESG RELEVANT) Defines ESG strategy and oversees implementati</t>
  </si>
  <si>
    <t>ESG performance data Introduction I Strategy and Governance I Progress on ESG I Data and assurance ESG performance data Climate and environmental Performance Unit 2022 2021 2020 2019 Comments on 2022 ESG performance data Energy consumption 1.1 Climate change Fuel oil 1,000 tonnes 10,320 11,0831 10,3681 11,173 Fuel oil consumption decreased by almost 7% in 2022 compared to 2021. This is mainly related to a reduction of heavy fuel oil consumption in Ocean. 1.1 Climate change Gas fuels 1,000 tonnes 21 211 211 10 The consumption of gas fuels remains at a similar level as last yea</t>
  </si>
  <si>
    <t>Limited Assurance Statement Introduction I Strategy and Governance I Progress on ESG I Data and assurance Independent limited of different gasses. A limited assurance engagement is substantially less in Statement on other sustainability information mentioned in the report scope than a reasonable assurance engagement in relation to both the risk Management of A.P. Møller - Maersk A/S is responsible for other sustainability assessment procedures, including an understanding of internal control, and the information communicate</t>
  </si>
  <si>
    <t>nd with the resources demand and in some cases the appetite for investments in energy transition. And available to us – to do all we can to get while many Maersk customers have shown a willingness to pay a premium to to net zero operations as fast as possible 2023 was the hottest year in recorded history. Severe weather-related incidents decarbonise their supply chains, rising interest rates threaten to push fuel costs Introduction and to help our customers decarbonise in all regions of the world impacted millions of people and underscored the to customer limits. Maersk’s position is that climate change needs to be tackled their global supply chains end to end. urgency of addressing climate change. As a key player in global logist</t>
  </si>
  <si>
    <t>Maersk annual report 2023.pdf</t>
  </si>
  <si>
    <t>ed an accelerated net zero 2040 activities as we follow the maritime sector framework. This means that governance policies pp. 55-61 for more detailed explanations on the changes. target, including key milestones needed by 2030 from a 2020 baseline, the sub-targets for maritime operations cover well-to-wake emissions, As part of the work to set SBTi-aligned targets, we have and committed to aligning our targets with the SBTi 1.5 degree pathway whereas our previous ocean KPI on EEOI is a relative target covering significantly improved the methodology for calculating scope 3 to 2030 and the 2040 net zero standard. Following the publication of only tank-to-wake emissions. While our overall roadmap to decarbonise Progress on ESG emiss</t>
  </si>
  <si>
    <t>Aligning our decarbonisation path do not actually lead to emissions, and inflationary effects that cause uncertainty in spend-based estimates. The SBTi-validated targets are not directly connected to our previous business segment sub-targets. They have a different baseline year to the Science Based Target initiative (2022), reflecting that 2022 is a more representative baseline compared Aligning our roadmap to the Science Based Targets initiative pathway to the previous two years of pandemic, and enabling us to take recent In 2023, Maersk had a total GHG footprint of 79.5 million tonnes, a The Science Based Targets initiative (SBTi) is a widely adopted acquis</t>
  </si>
  <si>
    <t>d assets, which is reported based on operations using Maersk’s EcoDelivery product out of the total FFEs transported by 2.2 Indirect GHG emissions (scope 2) – location-based of assets that are leased and not reported in scope 1 and 2. Category Maersk in the Ocean segment during the year. Transportation data, both Indirect GHG emissions (scope 2) is the CO₂ equivalents’ converted sum 11 – use of sold products, is based on activity data for marine fuels total and EcoDelivery-labelled, is based on registrations in Maersk’s Line Introduction of CO₂, CH₄ and N₂O, calculated based on consumed electricity and traded by Maersk to third parties, estimated fuel use of liner calling of Sight system, which captures all container bookings in M</t>
  </si>
  <si>
    <t>r) methodology. EEOI is defined by IMO in MEPC.1/ financial data and corresponding factors. Please refer to ESG Factbook Circ.684 and is calculated as gCO₂/(Ton cargo x Nm). In practice we 2.4 Value chain GHG emissions (scope 3) 2023 for a category breakdown of scope 3 emissions. calculate EEOI on voyage level and aggregate it in the following way: Data and assurance Value chain GHG emissions (scope 3 GHG ) are the CO₂ equivalents’ converted sum of CO₂, CH₄ and N₂O from Maersk’s value chain activities. 2.5 Total GHG emissions (g CO2 voy1 + g CO2 voy2 + g CO2 voy3) Of the 15 scope 3 categories in the GHG Protocol, 12 categories are Total GHG emissions have been stated as both the sum of scope 1, scope ((Tonne cargo x Nm)voy 1+ (Ton</t>
  </si>
  <si>
    <t>ignificant increase in energy intensity is mainly driven by Maersk’s decreased revenue in 2023 compared to 2022. USD Greenhouse Gas (GHG) Emissions Direct GHG emissions 1,000 tonnes In 2023, we recorded a 1% decrease in scope 1 emissions compared to 2022. This was driven mainly by our 2.1 Climate change 34,138 34,453¹ 36,597 33,958 - (scope 1 GHG protocol) CO2e reduced fuel oil consumption. Indirect GHG emissions (scope 2 GHG 1,000 tonnes 2.2 Climate change 386 444¹ 351 324 - protocol) - location-based CO2e The decrease in both scope 2 (location-based) and scope 2 (market-based) emissions are driven mainly by the Indirect GHG emissions (scope 2 GHG 1,000 tonnes afore-mentioned over-estimation of electricity consumption in LF Logis</t>
  </si>
  <si>
    <t>9.3 CAPEX • taxonomy-eligible Capex¹ KPI (additions) = eligible Capex/ • Total Opex related to repair and maintenance of eligible and non- Capex as presented in the Consolidated cash flow statement and total Capex eligible assets. specified in Note 5.5 Cash flow specifications of the Annual Report 2023. • taxonomy-eligible Opex¹ KPI (repair and maintenance) = eligible This represents cash payments for intangible assets and property plant Opex/ total Opex The taxonomy-aligned KPIs have been calculated as: and equipment</t>
  </si>
  <si>
    <t>ensure progress and realise the strategic ambitions. In addition, Maersk has matured its reporting processes, enabling us to add new ESG KPIs to our performance table again this year (see pp. 48-51). Like existing KPIs, Board of Directors these are covered by external assurance. Introduction Working actively and strategically with all aspects of sustainability Endorses ESG strategy as part of annual strategy review risks and impacts is a baseline requirement from our key stakeholders today, and expectations continue to grow and develop. Looking ahead, Strategy and external expectations and regulatory reporting requirements will governance Executive Leadership Team continue evolving, and new ESG landscapes are taking shape regional</t>
  </si>
  <si>
    <t>e target covering significantly improved the methodology for calculating scope 3 to 2030 and the 2040 net zero standard. Following the publication of only tank-to-wake emissions. While our overall roadmap to decarbonise Progress on ESG emissions, increasing the share of emissions that is calculated based the long-awaited SBTi sectoral framework for maritime shipping in late remains the same, our new targets will require additional effort in on activity data from 50% to 82%. Our new targets therefore reflect 2022, we have, during 2023, done extensive work to prepare and submit certain business areas. In this year’s report, we continue to report a clearer understanding of our performance with a shift from spend- 2030 and 2040 target</t>
  </si>
  <si>
    <t>Independent limited A limited assurance engagement is substantially less in scope than a reasonable • Performed analytical review and trend explanation of the ESG performance assurance engagement in relation to both the risk assessment procedures, data; and including an understanding of internal control, and the procedures performed in • Evaluated the obtained evidence. assurance report response to the assessed risks; consequently, the level of assurance obtained in a limited assurance engagement is substantially lower than the assurance that w</t>
  </si>
  <si>
    <t>the shipping industry in alignment with a 1.5°C is because the capture of market share by a company will result in the energy shifts. The first two levers relate to the energy efficiency of pathway for 2030 and the 2040 net-zero standard. decrease in market share for another if market activity is unchanged, our network and assets, which combined represent our biggest reduc­- leading to marginal effects on GHG emissions emitted into the For the first time, we are this year reporting progress against these atmosphere for the same activity depending on individual efficiencies Corporate tion potential and areas where we have higher degree of control over targets consisting of absolute reduction targets for scope 1, 2 and 3 of companie</t>
  </si>
  <si>
    <t>Maersk annual report 2024.pdf</t>
  </si>
  <si>
    <t>d the Cape of Good Hope, which resulted in longer EFRAG ID year (1,000 (1,000 2023 Base year target/ MDR-T_13 (2022) tonnes tonnes Base year distances and increased fuel consumption throughout 2024. Compared to Maersk’s baseline in 2022, we Executive (1,000 CO2e)1 CO2e) have reduced our absolute scope 1 emissions by 1% and scope 2 emissions by 15%. Our scope 3 emissions have summary tonnes CO2e) increased by 3% in the same period. In addition to the impacts of the re-routing, we took delivery of more dual-fuel vessels during 2024 compared to previous years. This has also increased our scope 3 emissions. Scope 1 Absolute reduction in total 34,416 32,404 2 33,939 5% -1% 35% 96% 4% The scope 1 emissions ACCOUNTING POLICIES integrator</t>
  </si>
  <si>
    <t>ion and investments in levers where we have higher control, and stakeholder engagement and lobby­ The ing for levers more dependent on externalities, including regulatory integrator The Science Based Targets initiative (SBTi) is a widely adopted frame- Maersk’s view is that further nuances should be introduced in the progress and our customers’ willingness to buy, as well as local stand- work for setting corporate climate targets in line with the 2015 Paris treatment of organic growth in methodologies by distinguishing ards, technology and infrastructure. Agreement’s pathway limiting global temperature rising to 1.5°C. between increased market activity owing to market growth versus Our transition plan, illustrated on the previous</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</si>
  <si>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tonnes tonnes Base year distances and increased fuel consumption through</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</si>
  <si>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tonnes tonnes Base year distances and increased fuel consumption throughout 2024. Compared to</t>
  </si>
  <si>
    <t>Proportion of CAPEX from products or services associated with Taxonomy-aligned economic activities 2024 1 Financial year 2024 2024 Substantial contribution DNSH Economic activities Code Absolute Proportion Climate Climate Water and Circular Pollution Biodiversity Climate Climate Water and Circular Pollution Biodiversity Minimum Proportion of Enabling Transitional CAPEX of CAPEX change change marine economy (Y; N; N/EL) and eco­ change change marine economy (Y/N) and eco­ safeguards Taxonomy-aligned activity activity (USDm) (%) m</t>
  </si>
  <si>
    <t>f the business. When considering Board candidates, the Nomination Committee governance The governance structure promotes close coordination between takes into account the competences of both the potential candidates the Board of Directors, the Executive Board and leaders across the and the current Board members with regards to ESG-related matters organisation. The structure promotes the objectives of: to ensure that the Board as a whole has a relevant level of expertise. Executive • Early identification of opportunities, challenges and risks. GOV-1 §23a,b summary • Efficient processes for informed decision-making. To leverage knowledge on ESG matters, the Board established A.P. Møller - Mærsk A/S must comply with or explain deviat</t>
  </si>
  <si>
    <t>Progress towards Maersk’s 2030 and 2040 targets For 2024, our absolute scope 1, scope 2 and scope 3 emissions increased by 5%, 6%, and 10%, respectively, Retrospective Milestones and target years compared to 2023, and thus trending in the wrong direction. The absolute emissions were significantly Base 2023 2024 % 2024/ % 2024/ 2030 2040 Annual % negatively impacted by the re-routing of vessels around the Cape of Good Hope, which resulted in longer EFRAG ID year (1,000 (1,000 2023 Base year target/ MDR-T_13 (2022) t</t>
  </si>
  <si>
    <t>Independent Auditor’s limited assurance Executive report on the Sustainability Statement summary To the stakeholders of A.P. Møller - Mærsk A/S The Limited assurance conclusion would have been obtained had a reasonable assurance engagement • identification of the actual and potential impacts (both negative integrator We have conducted a limited assurance engagement on the sustain- been performed. and positive) related to sustainability matters, as well as risks ability statement of A.P. Møller - Mærsk A/S (the “Group”) included in We believe th</t>
  </si>
  <si>
    <t>p. 201</t>
  </si>
  <si>
    <t>sed targets, and the impli- fuels supply and infrastructure, which is in turn dependent on stronger cations of IMO regulation to integrate the energy transition into business planning. global regulations such as the IMO Net-Zero Framework to close the Performance Maersk’s climate transition plan is built upon the key levers and scenarios cost gap with fossil fuels. that will enable us to achieve our climate transition plan targets for Towards 2030, efficiency measures will have the greatest impact Transition lever Expendi­tures 2025 2030 and 2040, while accounting for critical uncertainties and opera- on reducing GHG emissions in our transition plan. From 2030 to 2040, USDm Corporate tional complexities. The plan covers GHG emissi</t>
  </si>
  <si>
    <t>Maersk annual report 2025.pdf</t>
  </si>
  <si>
    <t>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 2022 2024 2022 driven by an increased amount of maritime fuel volumes traded and containers sold, as well as taking summary Scope 1 delivery of more dual-fuel vessels during 2025 compared to previous years. Scope 1 1,000 With rega</t>
  </si>
  <si>
    <t>Absolute reduction in scope 3 emissions from the use These thresholds are in line with SBTi requirements. The GHG emission intensity of sold products covering distributed fossil fuels emissions reduction targets are gross targets, meaning The absolute reduction in scope 3 Use of sold products that GHG removals, carbon credits or avoided emissions EFRAG ID Indicator Unit 2025 2024 covering distributed fossil fuels is stated as the percentage are not currently considered as means of achieving the E1-6_30 GHG emission intensity (location-based) 1,000 tonnes CO₂e/USDm 1.59 1.51 reduction of scope 3 Use o</t>
  </si>
  <si>
    <t>Progress towards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t>
  </si>
  <si>
    <t>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 3 emissions have increased by 7% in the same period, primarily Executive year) 2022 2024 2022 driven by an increased amount of maritime fuel volumes traded and containers sold, as well as taking summary Scope 1 delivery of more dual-fu</t>
  </si>
  <si>
    <t>EU Taxonomy reporting Activities included in Maersk’s EU Taxonomy reporting1 Revenue CAPEX OPEX The EU Taxonomy is a classification system for which economic activi- Ocean EU Taxonomy reporting ties can be considered environmentally sustainable. The EU Taxonomy 6.10  Sea and coastal freight water transport 2025 (2024) regulation is evolving, and our reporting is evolving accordingly. For Aligned revenue in the Ocean segment is related to 22 conventional vessels as well as 2025, Maersk has applied new simplified reporting tables and guidance Taxonomy-aligned 19 dual-fuel vessels that meet the tech</t>
  </si>
  <si>
    <t>Corporate The governance structure promotes close coordination between Financial Statements Act, this is considered equal representation, hence the Board of Directors, the Executive Board and leaders across the no target or policy for increasing the underrepresented gender at other governance organisation. The structure promotes the objectives of: management levels has been implemented. • Early identification of opportunities, challenges and risks. • Efficient processes for informed decision-making. Skills and expertise within ESG-related matters Executive • Continuous learning. When considering Board candidates, the Nomination Committee takes summary A.P. Møl</t>
  </si>
  <si>
    <t>Progress towards Maersk’s 2030 and 2040 targets During 2025, Maersk’s absolute scope 1 emissions remained stable, our renewable electricity sourcing Retrospective Change Targets Gap to target increased to 38%, compared to 29%, and our scope 3 emissions increased by 4%, compared to 2024. Compared to Maersk’s baseline in 2022, we have reduced our absolute scope 1 emissions by 1% and scope EFRAG ID Unit 2022 2023 1 2024 2025 2025 2025 2030 Gap MDR-T_13 (base vs. vs. vs. 2030 2 market-based emissions by 26%. Our scope</t>
  </si>
  <si>
    <t>Independent Auditor’s limited assurance Executive report on the Sustainability Statement summary To the stakeholders of A.P. Møller - Mærsk A/S Our business Limited assurance conclusion assurance engagement is substantially lower than the assurance that accordance with the ESRS and for disclosing this Process as included We have conducted a limited assurance engagement on the sustain- would have been obtained had a reasonable assurance engagement in the sections “Double Materiality Assessment” and “Basis of Prepa- ability statement of A.P. Møll</t>
  </si>
  <si>
    <t>p. 182</t>
  </si>
  <si>
    <t>pport low-carbon technologies and products. and assist the commissioning of carbon capture facilities by 2030. In the US, although there is no regulatory Please refer to holcim.com/climate-action for more details on our net zero framework comparable to the European ETS, the roadmap and key actions to reduce CO2 emissions. political agenda is also moving towards green growth, with recent initiatives such as the Our responses regarding the Market risk are presented in detail in the Inflation Reduction Act in 2022 which create an “Sustainable products, innovation and technology” risk and “Raw materials overarching incentivising environment to deploy (including mineral components)” risk. low carbon and resource efficient technologies</t>
  </si>
  <si>
    <t>Holcim annual report 2022.pdf</t>
  </si>
  <si>
    <t>ater/t cem (25 % weight) Weighting 33¹⁄₃% of performance 33¹⁄₃% of performance 33¹⁄₃% of performance 100 % of performance share grant share grant share grant option grant Performance period 2022–2024 2024 2024 2022–2026 Targets for the 2022 EPS growth of 5 % p.a. This ROIC of 8.5 % in 2024. This CO 2 emissions of 534 Ranking at the 60th grant is a decrease compared to is an increase by 0.5 % kilograms per ton of percentile of the peer the EPS target applicable compared to the ROIC cementitious material group. This is unchanged to the performance shares target for 2023 applicable produced in 2024. Waste compared to the ranking granted in 2021 to take to the performance shares of 41 million tons recycled target applicable to the int</t>
  </si>
  <si>
    <t>percent, or 71 mg/Nm3, surpassing targets and updated with the full 2050 net-zero its 2030 target of ­­75 mg/Nm3. Sustainability at the core of Holcim’s strategy pathway endorsed by the Science Based Targets initiative (SBTi). Following Holcim’s nature-positive strategy launch, it also added “specific freshwater 34M Holcim’s strong sustainability focus is Tons of waste embedded within all operations and is oriented withdrawal” in its cement operations. A third party recycled in around four key pillars: climate &amp; energy, nature, opinion was provided by ISS ESG and confirmed operations people and circular economy. the alignment of the framework with the sustainability-linked bond principles, which are published by the International</t>
  </si>
  <si>
    <t>p. 164</t>
  </si>
  <si>
    <t>te recycled or recovered Mt 0.67 0.87 0.92 Internal hazardous waste disposed Mt 0.01 0.02 0.02 Internal non-hazardous waste disposed Mt 0.41 0.99 1.04 CO2 and energy Unit 2020 2021 2022 CEM-specific CO2 emissions – net (Scope 1) – as reported5 kgCO 2 /t 555 553 562 CEM-specific CO2 emissions – net (Scope 1) – 2022 consolidation5 kgCO 2 /t 575 572 562 CEM-specific CO2 emissions – gross (Scope 1) – as reported5 kgCO 2 /t NR 581 602 CEM-specific CO2 emissions – gross (Scope 1) – 2022 consolidation5 kgCO 2 /t 613 609 602 CEM-specific CO2 emissions – electricity (Scope 2) – as reported5 kgCO 2 /t 36 34 37 CEM-specific CO2 emissions – electricity (Scope 2) – 2022 consolidation5 kgCO 2 /t 42 39 37 Specific heat consumption of clinker pro</t>
  </si>
  <si>
    <t>Holcim sus report 2022.pdf</t>
  </si>
  <si>
    <t>– gross – as reported Mt 110 119 78 Absolute Scope 1 emissions – gross – 2022 consolidation Mt 76 81 78 Absolute Scope 2 emissions – as reported Mt 7 7 5 Absolute Scope 2 emissions – 2022 consolidation Mt 5 5 5 Absolute Scope 3 emissions – total – as reported7 Mt 29 30 47 Absolute Scope 3 emissions – total – 2022 consolidation Mt 52 53 47 Absolute Scope 3 emissions – upstream – 2022 consolidation Mt 20 20 19 Absolute Scope 3 emissions – downstream – 2022 consolidation Mt 6 6 5 Absolute Scope 3 emissions – investments – 2022 consolidation Mt 26 27 23 kgCO 2 /t CO2 indirect emissions from purchased fuels (Scope 3) NR 288 285 purchased fuels CO2 indirect emissions from purchased clinker and cement (Scope 3) kgCO 2 /t CLC NR 705 709 k</t>
  </si>
  <si>
    <t>eral Meeting 2021, shareholders In 2022, 13 non-executive members of the approved a maximum aggregate amount of Board of Directors received in total compensation compensation of CHF 5,200,000 for the Board of of CHF 4.6 million (2021: CHF 4.9 million) Directors for the term until the Annual General of which CHF 2.6 million was paid in cash (2021: Meeting 2022. The compensation paid to the CHF 2.7 million), CHF 0.02 million in the form Board of Directors for this term was CHF 4,843,680 of social security contributions (2021: and is therefore within the approved limits. CHF 0.01 million), and CHF 1.9 million in shares (2021: CHF 2.0 million). Other compensation paid At the Annual General Meeting 2022, shareholders totaled CHF 0.2 mi</t>
  </si>
  <si>
    <t>p. 147</t>
  </si>
  <si>
    <t>CORPORATE GOVERNANCE CONTINUED Board of Directors and Committees In 2022, five regular meetings and six additional The Board of Directors currently consists of 11 meetings were held. One meeting focused on members, 10 of whom are independent, were not strategy topics. As a rule, the members of the previously members of the Holcim management, Executive Committee attended those parts of the and have no important business connections with regular meetings of the Board of Directors which Holcim. dealt with operational issues of areas of their respon</t>
  </si>
  <si>
    <t>p. 90</t>
  </si>
  <si>
    <t>COMPENSATION REPORT CONTINUED Design of the annual incentive 2022 Role CEO Other Executive Committee members Target opportunity 125 % of salary 75 % of salary Maximum opportunity 250 % of salary 150 % of salary Health, Safety and Performance objectives Relative Group performance Recurring EBIT growth Free Cash Flow after leases Environment (HSE) (Group or region)* (Group or region)* (Group or region)* Purpose Measures Group’s Measures Group or Measures the company’s Measures health, safety performance compared to regional operational ability to generate cash and environment peer companies exposed profitability indicators</t>
  </si>
  <si>
    <t>ABOUT PERFORMANCE DATA METHODOLOGY AND ASSURANCE STATEMENT GRI CONTENT INDEX SASB INDEX CONSOLIDATION ASSURANCE STATEMENT The procedures performed in a limited assurance review engagement are less in extent than for a reasonable assurance engagement opinion in accordance with the professional guidelines of the French Institute of Statutory Auditors (Compagnie Nationale des Commissaires aux Comptes); a higher level of assurance would have required us to carry out more extensive procedures. Paris-La Défense February 23, 2023 APPENDIX 1: SELECTION OF NON-F</t>
  </si>
  <si>
    <t>Carbon capture, utilization and storage carbon strategy imposes on our company to other technologies are developing at a pace consistent companies and sectors. Limited benefits would be with the industry’s transition to net zero. Demand for drawn from the development of low-carbon and low-carbon and material-efficient solutions, material and energy-efficient solutions. Physical solutions that reduce the emissions of the built impacts of climate change are severe including water environment, and those that mitigate the impacts of stress and extreme weather events. Holcim develops climate change, are accelerating. Physical impacts of a strong response strategy to protect its assets and climate change are manageable without significa</t>
  </si>
  <si>
    <t>Holcim annual report 2023.pdf</t>
  </si>
  <si>
    <t>3 GHG emissions 90 percent by Holcim commits to reduce gross Scope 1 and 2 GHG 2050 from a 2020 base year.3 emissions by 26.2 percent per ton of cementitious With these upgraded targets, we have confirmed our materials by 2030 from a 2018 base year.1 This is commitment to decarbonize building following the most equivalent to a 25 percent reduction in absolute advanced science. emissions within the same timeframe. By 2030, Holcim commits to reduce gross Scope 3 GHG From climate to nature Leveraging our rigorous science-driven approach from emissions per ton of purchased clinker and cement by climate to nature, Holcim was selected as one of only 17 25.1 percent, from a 2020 base year. companies to pilot our world's first science-ba</t>
  </si>
  <si>
    <t>h the 1.5°C framework. Our net-zero pledge With climate action at the core of Holcim’s strategy, we have 2030 and 2050 net-zero targets in line with the 1.5°C framework validated by the Science Based Targets initiative (SBTi) for all three scopes. What is new? Our Climate Policy Holcim’s approach towards accelerating climate action We have further updated our 2030 and 2050 targets by: while enabling a Just Transition and climate adaptation are described in our Climate Policy. The main principle of • Upgrading our combined Scope 1 &amp; 2 2030 targets our policy is the delivery of our actions in a rigorous, to meet the latest SBTi validation criteria science-based manner, to execute our net-zero journey. • Extending our 2050 target cov</t>
  </si>
  <si>
    <t>STRATEGIC GOVERNANCE, RISK &amp; MANAGEMENT FINANCIAL SUSTAINABILITY REVIEW COMPENSATION DISCUSSION &amp; ANALYSIS INFORMATION PERFORMANCE ENVIRONMENT ABSOLUTE GHG EMISSIONS1 Unit 2021 2022 2023 Absolute Scope 1 emissions – gross Mt 81 78 75 Absolute Scope 2 emissions (market-based) Mt 5 5 5 Absolute Scope 3 emissions – total Mt 53 47 47 Absolute S3 emissions – Cat 1 – Purchased goods &amp; services Mt 9.1 9.0 8.3 Absolute S3 emissions – Cat 2 – Capital goods Mt 0.1 0.1 0.2 Absolute S3 emissions – Cat 3 – Fuel and Energy Mt 5.8 5.5 5.3 Absolute S3 emissions – Cat 4 – Upstream transportation &amp; distribution Mt 4.6 4.7 4.4 Absolute S3 emissions – Cat 5 – Waste generated in own operations Mt 0.2 0.1 0.1 Absolute S3 emissio</t>
  </si>
  <si>
    <t>p. 407</t>
  </si>
  <si>
    <t>MPENSATION DISCUSSION &amp; ANALYSIS INFORMATION PERFORMANCE ENVIRONMENT ABSOLUTE GHG EMISSIONS1 Unit 2021 2022 2023 Absolute Scope 1 emissions – gross Mt 81 78 75 Absolute Scope 2 emissions (market-based) Mt 5 5 5 Absolute Scope 3 emissions – total Mt 53 47 47 Absolute S3 emissions – Cat 1 – Purchased goods &amp; services Mt 9.1 9.0 8.3 Absolute S3 emissions – Cat 2 – Capital goods Mt 0.1 0.1 0.2 Absolute S3 emissions – Cat 3 – Fuel and Energy Mt 5.8 5.5 5.3 Absolute S3 emissions – Cat 4 – Upstream transportation &amp; distribution Mt 4.6 4.7 4.4 Absolute S3 emissions – Cat 5 – Waste generated in own operations Mt 0.2 0.1 0.1 Absolute S3 emissions – Cat 6 – Business travel Mt 0.0 0.0 0.0 Absolute S3 emissions – Cat 7 – Employee commuting Mt</t>
  </si>
  <si>
    <t>EU TAXONOMY CONTINUED EU Taxonomy CapEx plan Explanation of key performance indicators In accordance with its Sustainability strategy, Holcim has The consolidated EU Taxonomy KPIs comprise those of established its EU Taxonomy CapEx plan pursuant to the Holcim Ltd and its consolidated subsidiaries. In 2023, requirements of the EU Taxonomy regulation as an Holcim did not issue any environmentally sustainable integral part of the annual strategy planning process. bonds to finance Taxonomy-aligned activities, and Holcim EU Taxonomy CapEx plan is establ</t>
  </si>
  <si>
    <t>p. 270</t>
  </si>
  <si>
    <t>CORPORATE GOVERNANCE CONTINUED Board of Directors and Committees The shareholders re-elected nine members of the Board of The Board of Directors currently consists of nine Directors, and elected Jan Jenisch as Chairman of the members, eight of whom are independent, were not Board of Directors. Jan Jenisch will continue as CEO of previously members of the Holcim management, and have Holcim for a limited duration. The Board of Directors sees no important business connections with Holcim. this dual mandate as important during a limited transition p</t>
  </si>
  <si>
    <t>tions in respect of goodwill 2023 Rec. EBITDA Operating segments Carrying amount Post-tax Long-term margins Terminal (Million CHF)1 of goodwill Currency discount rates2 growth rates2 value North America 4,197 USD/CAD 6.7% 2.1% 32.6% Latin America 1,005 Various 8.2%-56.4% 1.5%-52.9% 36.2% Europe 3,643 Various 5.9%-13.9% 1.0%-5.0% 22.6% Asia, Middle East and Africa3 995 Various 6.6%-45.2% 1.5%-39.4% 30.0% Solutions &amp; Products4 3,729 Various 6.2%-8.3% 1.6%-2.5% 23.1% Others 21 USD 5.9% 1.0% n.a Total 13,589 1 With the development and growth of the segment Solutions &amp; Products, Holcim’s segment reporting was changed in 2023 and adapted to the Strategy 2025 “Accelerating Green Growth”. The four regional operating segments of North Amer</t>
  </si>
  <si>
    <t>p. 335</t>
  </si>
  <si>
    <t>es that we selected2, based on their activity, their contribution to the consolidated indicators, their Nature and scope of procedures location and a risk analysis, we undertook interviews to We have performed a limited assurance engagement in verify the correct application of the procedures and accordance with the international standard ISAE 3000 undertook detailed tests on the basis of samples, (revised)1 (International Standard on Assurance consisting in verifying the calculations made and linking Engagements). them with supporting documentation. The sample selected therefore represented on average 12% of the 1. Review of the non-financial reporting processes hours worked used for the calculation of safety We undertook intervie</t>
  </si>
  <si>
    <t>p. 419</t>
  </si>
  <si>
    <t>bon capture, utilization and storage carbon strategy imposes on our company in relation technologies are developing at a pace consistent to other companies and sectors. Limited benefits with the industry’s transition to net zero. Demand for would be drawn from the development of low- low-carbon and material-efficient solutions, carbon and material and energy-efficient solutions. solutions that reduce the emissions of the built Physical impacts of climate change are severe, environment, and those that mitigate the impacts of including water stress and extreme weather events. climate change, is accelerating. Physical impacts of Holcim develops a strong response strategy to climate change are manageable without significant protect it</t>
  </si>
  <si>
    <t>Holcim annual report 2024.pdf</t>
  </si>
  <si>
    <t>/t – million joules per ton g/t – grams per ton ha – hectares CHF – Swiss francs mg/t – milligrams per ton km – kilometers CHFm – million Swiss francs # – number % – percentage 2023 2024 2024 vs. Achieved Unit Base Year Baseline Performance Performance 2023 2030 Target to Date Specific CO₂ emissions – Net (Scope 1) – cement only1 kgCO₂/t 2018 590 549 538 -2% 420 -9% Specific CO₂ emissions – Gross (Scope 1) – cement only1 kgCO₂/t 2018 623 591 582 -2% -23 % -7% CO₂ emissions – electricity (Scope 2) – cement only1 kgCO₂/t 2018 46 35 32 -8% -65 % -30% CO₂ indirect emissions from purchased kgCO₂e/t fuels (Scope 3)1 purchased 2020 286 285 285 — -20 % — CO₂ indirect emissions from purchased kgCO₂e/t clinker and cement (Scope 3)1 purchase</t>
  </si>
  <si>
    <t>p. 381</t>
  </si>
  <si>
    <t>STRATEGIC RECORD PROFITABLE LEADING IN SUMMARY FINANCIAL FINANCIAL REVIEW PERFORMANCE GROWTH SUSTAINABILITY INFORMATION REVIEW OUR SBTi TARGETS ALIGNED WITH 1.5°C Long-term targets Holcim commits to reduce Scope 1 and Scope 2 GHG Holcim commits to reaching net-zero greenhouse gas emissions by 95% per ton of cementitious materials by emissions (GHG) across the value chain by 2050. 2050 from a 2018 base year.1 Holcim commits to reduce Near-term targets absolute Scope 3 GHG emissions 90% by 2050 from a Holcim commits to reduce gross Scope 1 and 2 GHG 2020 base year.3 emissions by 26.2% per ton of cementitious materials by With these upgraded targ</t>
  </si>
  <si>
    <t>STRATEGIC FINANCIAL GOVERNANCE, RISK &amp; MANAGEMENT FINANCIAL SUSTAINABILITY REVIEW REVIEW COMPENSATION DISCUSSION &amp; ANALYSIS INFORMATION PERFORMANCE ENVIRONMENT ABSOLUTE GHG EMISSIONS1 Unit 2022 2023 2024 Absolute Scope 1 emissions – gross Mt 77 74 71 Percentage of Scope 1 GHG emissions from regulated emission trading schemes % 29 28 29 Absolute Scope 2 emissions (market-based) Mt 4 5 4 Percentage of electricity purchased with usage of bundled renewable energy attributes % NR NR 7 Percentage of electricity purchased with usage of unbundled renewable energy attributes % NR NR 6 Absolute Scope 3 emissions – total Mt 48 46 42 Percentage of GHG Scope 3 calculated using primary data % 49 51 48 Absolute S3 emissions – Cat 1 – Purc</t>
  </si>
  <si>
    <t>p. 383</t>
  </si>
  <si>
    <t>-based) Mt 4 5 4 Percentage of electricity purchased with usage of bundled renewable energy attributes % NR NR 7 Percentage of electricity purchased with usage of unbundled renewable energy attributes % NR NR 6 Absolute Scope 3 emissions – total Mt 48 46 42 Percentage of GHG Scope 3 calculated using primary data % 49 51 48 Absolute S3 emissions – Cat 1 – Purchased goods and services Mt 9.5 7.5 7.3 Absolute S3 emissions – Cat 2 – Capital goods Mt 0.1 0.2 0.1 Absolute S3 emissions – Cat 3 – Fuel and energy-related activities Mt 5.5 5.3 5.1 Absolute S3 emissions – Cat 4 – Upstream transportation and distribution Mt 4.7 4.3 4.2 Absolute S3 emissions – Cat 5 – Waste generated in operations Mt 0.1 0.1 0.1 Absolute S3 emissions – Cat 6 –</t>
  </si>
  <si>
    <t>inistrative expenses of CHF 16 million (2023: CHF 15 million), other expenses of CHF 21 million (2023: CHF 83 million) and net foreign exchange losses of CHF 0 million (2023: CHF 345 million). 5. Impairment of financial investments and financial receivables – Group companies In the reporting period there have been impairments on financial investments and financial receivables in the amount of CHF 145 million (2023: CHF 28 million). 6. Non-current financial receivables – Group companies The non-current financial receivables amount to CHF 5,106 million (2023: CHF 4,828 million). Holcim Ltd granted a subordinated loan of USD 3,500 million to a fully owned subsidiary. 7. Financial investments – Group companies The principal direct and</t>
  </si>
  <si>
    <t>p. 359</t>
  </si>
  <si>
    <t>COMPENSATION REPORT CONTINUED MEMBERS OF THE BOARD OF DIRECTORS AND EXECUTIVE COMMITTEE HOLD THE FOLLOWING EXTERNAL MANDATES AS OF 31 DECEMBER 2023 AND 2024 ACCORDING TO ART. 734E OF THE SWISS CODE OF OBLIGATIONS (AUDITED) Board of Directors Company Function 2024 2023 Jan Jenisch World Business Council for Sustainable Member of the Executive Committee No Yes Development (WBCSD) European Round Table for Industry (ERT) Active Member Yes Yes Swiss-Japanese Chamber of Commerce (SJCC) Member of the Board of Directors Yes Yes Glas Troesch Holding AG (privately held</t>
  </si>
  <si>
    <t>p. 192</t>
  </si>
  <si>
    <t>STRATEGIC FINANCIAL GOVERNANCE, RISK &amp; MANAGEMENT FINANCIAL SUSTAINABILITY REVIEW REVIEW COMPENSATION DISCUSSION &amp; ANALYSIS INFORMATION PERFORMANCE PERFORMANCE AGAINST TARGETS Unit key NR – Not reported Mt – million tons Mm³ – million cubic meters kgCO₂/t – kilograms of carbon dioxide per ton ton – metric ton L/t – liters per ton M GJ – million gigajoules g – grams L/m³ – liters per cubic meter MJ/t – million joules per ton g/t – grams per ton ha – hectares CHF – Swiss francs mg/t – milligrams per ton km – kilometers CHFm – million Swiss francs # – number % – percentage 2023 2024 2024 vs. Achieved Unit Base Year Baseline Performance Performance 2023 2030 Target to Date Specific C</t>
  </si>
  <si>
    <t>ristics total duration of intervention of about 18 weeks. of the Entity, its social and environmental issues and its strategy in relation to sustainable development. Nature and scope of procedures We performed a limited assurance engagement in • At the Entity level, we consulted documentary sources accordance with international standard ISAE 3000 and conducted interviews to corroborate the qualitative (revised)1 (International Standard on Assurance information (organization, policies, actions, etc.), Engagements). implemented analytical procedures on the quantitative information and verified, on a test basis, the calculations We undertook interviews with people responsible for the and the compilation of the information, and also p</t>
  </si>
  <si>
    <t>p. 397</t>
  </si>
  <si>
    <t>NDICES DISCLOSURES SCENARIO ALIGNED WITH SCENARIO OF LIMITED THE PARIS AGREEMENT COLLECTIVE ACTION ON In the scenario aligned with the Paris Agreement, CLIMATE CHANGE governments and industries are collaborating to make net zero possible. The cement industry is making Limited collective action on climate change has the significant efforts toward net-zero development and potential to hamper Holcim’s aim to become a net- innovation, while climate change mitigation and zero company by 2050. Such action could adaptation are growing in importance. Carbon competitively disadvantage Holcim in relation to our capture, utilization, and storage technologies are peers and other sectors by restricting our ability to developing at a pace consi</t>
  </si>
  <si>
    <t>Holcim annual report 2025.pdf</t>
  </si>
  <si>
    <t>operations. Holcim is committed Targets Network (SBTN) methodology and validated to lowering freshwater withdrawal intensity across our most through the Accountability Accelerator, as the company material business lines by 2030, with a 33% reduction in extends its industry-leading nature-positive approach and cement, more than 50% in aggregates, and 15% in ready- advances NextGen Growth 2030. mix concrete compared to a 2020 baseline. In Greece, Holcim will reduce its freshwater withdrawal in Although our target to lower freshwater withdrawal in its direct operations in the Cyclades Basin, to 53,082 m³ by aggregates by 50% was achieved in 2025, the target will 2030 – a 23% reduction compared to a 2020–2024 average. remain, since pa</t>
  </si>
  <si>
    <t>p. 159</t>
  </si>
  <si>
    <t>y, including climate action, is at the core of Holcim’s strategy. Our 2030 and 2050 net-zero targets are 2030 &amp; 2050 NET- aligned with the 1.5°C framework and have been validated by the Science Based Targets initiative (SBTi). ZERO TARGETS Restatement of targets post spin-off VALIDATED BY In 2025, following the spin-off of the North American SBTI1 business, we restated our 2030 and 2050 science-based targets and 2020 baselines, without compromising on our 2030 2050 commitment to achieve net-zero greenhouse gas (GHG) 25% 95% SCOPES 1 &amp; 2 emissions across our operations and the value chain by 2050. We have also set a new Scope 3 target for joint REDUCTION REDUCTION ventures, in line with the SBTi requirement. in gross emissions per</t>
  </si>
  <si>
    <t>INTRODUCTION LEADING PARTNER OUR PEOPLE SUSTAINABILITY APPENDICES DISCLOSURES Category 12: We use the “average-data” method, Category 15: We use “primary data”, capturing Scope 1 and combining primary data (volumes sold) with emission 2 emissions from our joint ventures and applying the factors extracted from the LCA database (GaBi) in relation percentage in relation to our equity ratio. to end-of-life waste treatment processes (according to each waste type). For Scopes 1, 2, and 3, we closely follow the ongoing consultations and developments in relation to the GHG Category 13: We use the “spend-based” method. Protocol and will continue to implement adaptations going forward. Catego</t>
  </si>
  <si>
    <t>emissions % 10 14 15 Percentage of electricity purchased with usage of bundled renewable energy attributes % 6 6 8 Percentage of electricity purchased with usage of unbundled renewable energy attributes % 4 7 7 Absolute Scope 3 emissions – total Mt 38 35 37 Percentage of GHG Scope 3 calculated using primary data % 61 58 59 Absolute S3 emissions – Cat 1 – Purchased goods and services Mt 5.2 5.3 5.8 Absolute S3 emissions – Cat 2 – Capital goods Mt 0.1 0.1 0.1 Absolute S3 emissions – Cat 3 – Fuel and energy-related activities Mt 3.5 3.6 3.3 Absolute S3 emissions – Cat 4 – Upstream transportation and distribution Mt 3.0 3.0 3.1 Absolute S3 emissions – Cat 5 – Waste generated in operations Mt 0.1 0.0 0.0 Absolute S3 emissions – Cat 6 –</t>
  </si>
  <si>
    <t>axonomy alignment criteria. 1 Turnover corresponds to net sales to external customers. In 2025, Holcim achieved CHF 914 million in Taxonomy- aligned sales1 (5.8% of total net sales), representing an CAPITAL EXPENDITURE (CAPEX)1 increase of 4.6% compared to CHF 874 million in 20242, driven by higher low-carbon cement sales and improved alignment with DNSH criteria for air pollution and climate change adaptation. Within Holcim Group’s intercompany sales, the main Taxonomy-eligible stream consists of CHF 890 million in cement produced and sold to other Group entities for ready-mix concrete production, of which CHF 158 million is Taxonomy-aligned. These intercompany sales are excluded from the turnover KPIs. Capital expenditure (CapEx</t>
  </si>
  <si>
    <t>p. 171</t>
  </si>
  <si>
    <t>GROUP AND CAPITAL BOARD OF EXECUTIVE SHAREHOLDERS &amp; COMPLIANCE ENTERPRISE RISK STRUCTURE DIRECTORS COMMITTEE OTHER GOVERNANCE PROGRAM REPORT BOARD OF DIRECTORS AND COMMITTEES The Board of Directors currently consists of 10 members, all In 2025, six ordinary meetings and three extraordinary of whom are independent. meetings were held. One additional meeting focused on strategy topics. As a rule, the members of the Executive Independence is defined in line with Swiss best corporate Committee attended those parts of the regular meetings of governance standards. A member of the Board of Directors the Board of Directors which dealt with operational issues sh</t>
  </si>
  <si>
    <t>p. 223</t>
  </si>
  <si>
    <t>INTRODUCTION LEADING PARTNER OUR PEOPLE SUSTAINABILITY APPENDICES DISCLOSURES E3-3 – Targets related to water and marine resources In 2025, Holcim set three new targets for freshwater Since freshwater is a finite resource, we aim to reduce water withdrawal reduction, developed using the Science Based intensity throughout our operations. Holcim is committed Targets Network (SBTN) methodology and validated to lowering freshwater withdrawal intensity across our most through the Accountability Accelerator, as the company material business lines by 2030, with a 33% reduction in extends its industry-lead</t>
  </si>
  <si>
    <t>n • the compliance of the Transition Plan Disclosures with and, where applicable, internal control and risk the ESRS E1 Climate Change requirements. management processes. Our procedures mainly consisted • form a limited assurance independent conclusion, based in: on the procedures we have performed and the evidence • Double Materiality Assessment: we have obtained; • assessing if the process defined and implemented by • and report it to the Executive Committee of Holcim. the Group has enabled it, in accordance with the ESRS As we are engaged to form an independent conclusion on requirements, to identify and assess its impacts, risks the Double Materiality Assessment, the Sustainability and opportunities related to sustainability m</t>
  </si>
  <si>
    <t>Verified Criteria</t>
  </si>
  <si>
    <t>Final Raw /10</t>
  </si>
  <si>
    <t>NZTDCI /100</t>
  </si>
  <si>
    <t>Assistant Scores Completed</t>
  </si>
  <si>
    <t>Assistant Proposed Raw</t>
  </si>
  <si>
    <t>Assistant Proposed NZTDCI</t>
  </si>
  <si>
    <t>Ready for Analysis?</t>
  </si>
  <si>
    <t>Net Income</t>
  </si>
  <si>
    <t>Total Assets</t>
  </si>
  <si>
    <t>Prior-Year Assets</t>
  </si>
  <si>
    <t>Average Assets</t>
  </si>
  <si>
    <t>Total Equity</t>
  </si>
  <si>
    <t>Prior-Year Equity</t>
  </si>
  <si>
    <t>Average Equity</t>
  </si>
  <si>
    <t>Total Liabilities</t>
  </si>
  <si>
    <t>Revenue</t>
  </si>
  <si>
    <t>ROA %</t>
  </si>
  <si>
    <t>ROE %</t>
  </si>
  <si>
    <t>ln(Assets)</t>
  </si>
  <si>
    <t>Leverage %</t>
  </si>
  <si>
    <t>Benchmark</t>
  </si>
  <si>
    <t>Why Selected</t>
  </si>
  <si>
    <t>2022 NZTDCI</t>
  </si>
  <si>
    <t>2023 NZTDCI</t>
  </si>
  <si>
    <t>2024 NZTDCI</t>
  </si>
  <si>
    <t>2025 NZTDCI</t>
  </si>
  <si>
    <t>Global banking benchmark; relevant to KBANK/SCBX/BBL and financed-emissions disclosure.</t>
  </si>
  <si>
    <t>Hard-to-abate materials benchmark; directly comparable to SCC on transition planning.</t>
  </si>
  <si>
    <t>Consumer/retail benchmark; useful for value-chain and Scope 3 transition disclosure.</t>
  </si>
  <si>
    <t>Transport/logistics benchmark; useful for transition-intensive operations and fuel decarbonisation.</t>
  </si>
  <si>
    <t>Major global materials/construction benchmark with extensive net-zero and climate-transition reporting; complements Heidelberg and provides a strong hard-to-abate-sector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</si>
</sst>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color rgb="FF000000"/>
      <name val="Carlito"/>
    </font>
    <font>
      <sz val="11"/>
      <color rgb="FF000000"/>
      <name val="Carlito"/>
    </font>
    <font>
      <sz val="14"/>
      <color rgb="FF000000"/>
      <name val="-webkit-standard"/>
    </font>
  </fonts>
  <fills count="4">
    <fill>
      <patternFill patternType="none"/>
    </fill>
    <fill>
      <patternFill patternType="gray125"/>
    </fill>
    <fill>
      <patternFill patternType="solid">
        <fgColor rgb="FF1F4E78"/>
      </patternFill>
    </fill>
    <fill>
      <patternFill patternType="solid">
        <fgColor rgb="FF1F4E78"/>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2" borderId="0" xfId="0" applyFont="1" applyFill="1" applyAlignment="1">
      <alignment horizontal="center" vertical="center" wrapText="1"/>
    </xf>
    <xf numFmtId="2" fontId="0" fillId="0" borderId="0" xfId="0" applyNumberFormat="1"/>
    <xf numFmtId="2" fontId="0" fillId="0" borderId="0" xfId="0" applyNumberFormat="1" applyAlignment="1">
      <alignment wrapText="1"/>
    </xf>
    <xf numFmtId="0" fontId="1" fillId="3" borderId="0" xfId="0" applyFont="1" applyFill="1" applyAlignment="1">
      <alignment horizontal="center" vertical="center" wrapText="1"/>
    </xf>
    <xf numFmtId="0" fontId="2" fillId="0" borderId="0" xfId="0" applyFont="1"/>
    <xf numFmtId="4" fontId="3" fillId="0" borderId="0" xfId="0" applyNumberFormat="1" applyFont="1"/>
    <xf numFmtId="10" fontId="2" fillId="0" borderId="0" xfId="0" applyNumberFormat="1" applyFont="1"/>
    <xf numFmtId="0" fontId="3" fillId="0" borderId="0" xfId="0" applyFont="1"/>
    <xf numFmtId="10" fontId="3" fillId="0" borderId="0" xfId="0" applyNumberFormat="1" applyFont="1"/>
    <xf numFmtId="4" fontId="2" fillId="0" borderId="0" xfId="0" applyNumberFormat="1" applyFont="1"/>
    <xf numFmtId="3" fontId="3" fillId="0" borderId="0" xfId="0" applyNumberFormat="1" applyFont="1"/>
    <xf numFmtId="0" fontId="4" fillId="0" borderId="0" xfId="0" applyFont="1"/>
  </cellXfs>
  <cellStyles count="1">
    <cellStyle name="Normal" xfId="0" builtinId="0"/>
  </cellStyles>
  <dxfs count="2">
    <dxf>
      <fill>
        <patternFill>
          <bgColor rgb="FFE2F0D9"/>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baseColWidth="10" defaultColWidth="8.83203125" defaultRowHeight="14"/>
  <cols>
    <col min="1" max="1" width="10" customWidth="1"/>
    <col min="2" max="2" width="42" customWidth="1"/>
    <col min="3" max="4" width="68" customWidth="1"/>
  </cols>
  <sheetData>
    <row r="1" spans="1:4" ht="16">
      <c r="A1" s="2" t="s">
        <v>66</v>
      </c>
      <c r="B1" s="2" t="s">
        <v>67</v>
      </c>
      <c r="C1" s="2" t="s">
        <v>68</v>
      </c>
      <c r="D1" s="2" t="s">
        <v>69</v>
      </c>
    </row>
    <row r="2" spans="1:4" ht="15">
      <c r="A2" s="1" t="s">
        <v>70</v>
      </c>
      <c r="B2" s="1" t="s">
        <v>71</v>
      </c>
      <c r="C2" s="1" t="s">
        <v>72</v>
      </c>
      <c r="D2" s="1" t="s">
        <v>73</v>
      </c>
    </row>
    <row r="3" spans="1:4" ht="15">
      <c r="A3" s="1" t="s">
        <v>74</v>
      </c>
      <c r="B3" s="1" t="s">
        <v>75</v>
      </c>
      <c r="C3" s="1" t="s">
        <v>76</v>
      </c>
      <c r="D3" s="1" t="s">
        <v>77</v>
      </c>
    </row>
    <row r="4" spans="1:4" ht="15">
      <c r="A4" s="1" t="s">
        <v>78</v>
      </c>
      <c r="B4" s="1" t="s">
        <v>79</v>
      </c>
      <c r="C4" s="1" t="s">
        <v>80</v>
      </c>
      <c r="D4" s="1" t="s">
        <v>81</v>
      </c>
    </row>
    <row r="5" spans="1:4" ht="15">
      <c r="A5" s="1" t="s">
        <v>82</v>
      </c>
      <c r="B5" s="1" t="s">
        <v>83</v>
      </c>
      <c r="C5" s="1" t="s">
        <v>84</v>
      </c>
      <c r="D5" s="1" t="s">
        <v>85</v>
      </c>
    </row>
    <row r="6" spans="1:4" ht="30">
      <c r="A6" s="1" t="s">
        <v>86</v>
      </c>
      <c r="B6" s="1" t="s">
        <v>87</v>
      </c>
      <c r="C6" s="1" t="s">
        <v>88</v>
      </c>
      <c r="D6" s="1" t="s">
        <v>89</v>
      </c>
    </row>
    <row r="7" spans="1:4" ht="15">
      <c r="A7" s="1" t="s">
        <v>90</v>
      </c>
      <c r="B7" s="1" t="s">
        <v>91</v>
      </c>
      <c r="C7" s="1" t="s">
        <v>92</v>
      </c>
      <c r="D7" s="1" t="s">
        <v>93</v>
      </c>
    </row>
    <row r="8" spans="1:4" ht="15">
      <c r="A8" s="1" t="s">
        <v>94</v>
      </c>
      <c r="B8" s="1" t="s">
        <v>95</v>
      </c>
      <c r="C8" s="1" t="s">
        <v>96</v>
      </c>
      <c r="D8" s="1" t="s">
        <v>97</v>
      </c>
    </row>
    <row r="9" spans="1:4" ht="15">
      <c r="A9" s="1" t="s">
        <v>98</v>
      </c>
      <c r="B9" s="1" t="s">
        <v>99</v>
      </c>
      <c r="C9" s="1" t="s">
        <v>100</v>
      </c>
      <c r="D9" s="1" t="s">
        <v>101</v>
      </c>
    </row>
    <row r="10" spans="1:4" ht="30">
      <c r="A10" s="1" t="s">
        <v>102</v>
      </c>
      <c r="B10" s="1" t="s">
        <v>103</v>
      </c>
      <c r="C10" s="1" t="s">
        <v>104</v>
      </c>
      <c r="D10" s="1" t="s">
        <v>105</v>
      </c>
    </row>
    <row r="11" spans="1:4" ht="15">
      <c r="A11" s="1" t="s">
        <v>106</v>
      </c>
      <c r="B11" s="1" t="s">
        <v>107</v>
      </c>
      <c r="C11" s="1" t="s">
        <v>108</v>
      </c>
      <c r="D11" s="1"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topLeftCell="A2" zoomScale="56" workbookViewId="0"/>
  </sheetViews>
  <sheetFormatPr baseColWidth="10" defaultColWidth="8.83203125" defaultRowHeight="14"/>
  <cols>
    <col min="1" max="1" width="14" customWidth="1"/>
    <col min="2" max="2" width="48" customWidth="1"/>
    <col min="3" max="3" width="18" customWidth="1"/>
    <col min="4" max="5" width="60" customWidth="1"/>
    <col min="6" max="9" width="24" customWidth="1"/>
    <col min="10" max="10" width="70" customWidth="1"/>
  </cols>
  <sheetData>
    <row r="1" spans="1:10" ht="16">
      <c r="A1" s="2" t="s">
        <v>0</v>
      </c>
      <c r="B1" s="2" t="s">
        <v>1</v>
      </c>
      <c r="C1" s="2" t="s">
        <v>2</v>
      </c>
      <c r="D1" s="2" t="s">
        <v>110</v>
      </c>
      <c r="E1" s="2" t="s">
        <v>111</v>
      </c>
      <c r="F1" s="2" t="s">
        <v>112</v>
      </c>
      <c r="G1" s="2" t="s">
        <v>113</v>
      </c>
      <c r="H1" s="2" t="s">
        <v>114</v>
      </c>
      <c r="I1" s="2" t="s">
        <v>115</v>
      </c>
      <c r="J1" s="2" t="s">
        <v>116</v>
      </c>
    </row>
    <row r="2" spans="1:10" ht="15">
      <c r="A2" s="1" t="s">
        <v>5</v>
      </c>
      <c r="B2" s="1" t="s">
        <v>6</v>
      </c>
      <c r="C2" s="1" t="s">
        <v>7</v>
      </c>
      <c r="D2" s="1" t="s">
        <v>117</v>
      </c>
      <c r="E2" s="1" t="s">
        <v>118</v>
      </c>
      <c r="F2" s="1" t="s">
        <v>119</v>
      </c>
      <c r="G2" s="1" t="s">
        <v>119</v>
      </c>
      <c r="H2" s="1" t="s">
        <v>119</v>
      </c>
      <c r="I2" s="1" t="s">
        <v>119</v>
      </c>
      <c r="J2" s="1"/>
    </row>
    <row r="3" spans="1:10" ht="15">
      <c r="A3" s="1" t="s">
        <v>10</v>
      </c>
      <c r="B3" s="1" t="s">
        <v>11</v>
      </c>
      <c r="C3" s="1" t="s">
        <v>7</v>
      </c>
      <c r="D3" s="1" t="s">
        <v>120</v>
      </c>
      <c r="E3" s="1" t="s">
        <v>121</v>
      </c>
      <c r="F3" s="1" t="s">
        <v>119</v>
      </c>
      <c r="G3" s="1" t="s">
        <v>119</v>
      </c>
      <c r="H3" s="1" t="s">
        <v>119</v>
      </c>
      <c r="I3" s="1" t="s">
        <v>119</v>
      </c>
      <c r="J3" s="1"/>
    </row>
    <row r="4" spans="1:10" ht="15">
      <c r="A4" s="1" t="s">
        <v>12</v>
      </c>
      <c r="B4" s="1" t="s">
        <v>13</v>
      </c>
      <c r="C4" s="1" t="s">
        <v>7</v>
      </c>
      <c r="D4" s="1" t="s">
        <v>122</v>
      </c>
      <c r="E4" s="1" t="s">
        <v>123</v>
      </c>
      <c r="F4" s="1" t="s">
        <v>119</v>
      </c>
      <c r="G4" s="1" t="s">
        <v>119</v>
      </c>
      <c r="H4" s="1" t="s">
        <v>119</v>
      </c>
      <c r="I4" s="1" t="s">
        <v>119</v>
      </c>
      <c r="J4" s="1"/>
    </row>
    <row r="5" spans="1:10" ht="15">
      <c r="A5" s="1" t="s">
        <v>14</v>
      </c>
      <c r="B5" s="1" t="s">
        <v>15</v>
      </c>
      <c r="C5" s="1" t="s">
        <v>7</v>
      </c>
      <c r="D5" s="1" t="s">
        <v>124</v>
      </c>
      <c r="E5" s="1" t="s">
        <v>125</v>
      </c>
      <c r="F5" s="1" t="s">
        <v>119</v>
      </c>
      <c r="G5" s="1" t="s">
        <v>119</v>
      </c>
      <c r="H5" s="1" t="s">
        <v>119</v>
      </c>
      <c r="I5" s="1" t="s">
        <v>119</v>
      </c>
      <c r="J5" s="1"/>
    </row>
    <row r="6" spans="1:10" ht="30">
      <c r="A6" s="1" t="s">
        <v>16</v>
      </c>
      <c r="B6" s="1" t="s">
        <v>17</v>
      </c>
      <c r="C6" s="1" t="s">
        <v>7</v>
      </c>
      <c r="D6" s="1" t="s">
        <v>126</v>
      </c>
      <c r="E6" s="1" t="s">
        <v>127</v>
      </c>
      <c r="F6" s="1" t="s">
        <v>119</v>
      </c>
      <c r="G6" s="1" t="s">
        <v>119</v>
      </c>
      <c r="H6" s="1" t="s">
        <v>119</v>
      </c>
      <c r="I6" s="1" t="s">
        <v>119</v>
      </c>
      <c r="J6" s="1"/>
    </row>
    <row r="7" spans="1:10" ht="15">
      <c r="A7" s="1" t="s">
        <v>19</v>
      </c>
      <c r="B7" s="1" t="s">
        <v>20</v>
      </c>
      <c r="C7" s="1" t="s">
        <v>7</v>
      </c>
      <c r="D7" s="1" t="s">
        <v>128</v>
      </c>
      <c r="E7" s="1" t="s">
        <v>129</v>
      </c>
      <c r="F7" s="1" t="s">
        <v>119</v>
      </c>
      <c r="G7" s="1" t="s">
        <v>119</v>
      </c>
      <c r="H7" s="1" t="s">
        <v>119</v>
      </c>
      <c r="I7" s="1" t="s">
        <v>119</v>
      </c>
      <c r="J7" s="1"/>
    </row>
    <row r="8" spans="1:10" ht="15">
      <c r="A8" s="1" t="s">
        <v>22</v>
      </c>
      <c r="B8" s="1" t="s">
        <v>23</v>
      </c>
      <c r="C8" s="1" t="s">
        <v>7</v>
      </c>
      <c r="D8" s="1" t="s">
        <v>130</v>
      </c>
      <c r="E8" s="1" t="s">
        <v>131</v>
      </c>
      <c r="F8" s="1" t="s">
        <v>119</v>
      </c>
      <c r="G8" s="1" t="s">
        <v>119</v>
      </c>
      <c r="H8" s="1" t="s">
        <v>119</v>
      </c>
      <c r="I8" s="1" t="s">
        <v>119</v>
      </c>
      <c r="J8" s="1"/>
    </row>
    <row r="9" spans="1:10" ht="30">
      <c r="A9" s="1" t="s">
        <v>25</v>
      </c>
      <c r="B9" s="1" t="s">
        <v>26</v>
      </c>
      <c r="C9" s="1" t="s">
        <v>7</v>
      </c>
      <c r="D9" s="1" t="s">
        <v>132</v>
      </c>
      <c r="E9" s="1" t="s">
        <v>133</v>
      </c>
      <c r="F9" s="1" t="s">
        <v>119</v>
      </c>
      <c r="G9" s="1" t="s">
        <v>119</v>
      </c>
      <c r="H9" s="1" t="s">
        <v>119</v>
      </c>
      <c r="I9" s="1" t="s">
        <v>119</v>
      </c>
      <c r="J9" s="1"/>
    </row>
    <row r="10" spans="1:10" ht="30">
      <c r="A10" s="1" t="s">
        <v>28</v>
      </c>
      <c r="B10" s="1" t="s">
        <v>29</v>
      </c>
      <c r="C10" s="1" t="s">
        <v>7</v>
      </c>
      <c r="D10" s="1" t="s">
        <v>134</v>
      </c>
      <c r="E10" s="1" t="s">
        <v>135</v>
      </c>
      <c r="F10" s="1" t="s">
        <v>119</v>
      </c>
      <c r="G10" s="1" t="s">
        <v>119</v>
      </c>
      <c r="H10" s="1" t="s">
        <v>119</v>
      </c>
      <c r="I10" s="1" t="s">
        <v>119</v>
      </c>
      <c r="J10" s="1"/>
    </row>
    <row r="11" spans="1:10" ht="15">
      <c r="A11" s="1" t="s">
        <v>31</v>
      </c>
      <c r="B11" s="1" t="s">
        <v>32</v>
      </c>
      <c r="C11" s="1" t="s">
        <v>7</v>
      </c>
      <c r="D11" s="1" t="s">
        <v>136</v>
      </c>
      <c r="E11" s="1" t="s">
        <v>137</v>
      </c>
      <c r="F11" s="1" t="s">
        <v>119</v>
      </c>
      <c r="G11" s="1" t="s">
        <v>119</v>
      </c>
      <c r="H11" s="1" t="s">
        <v>119</v>
      </c>
      <c r="I11" s="1" t="s">
        <v>119</v>
      </c>
      <c r="J11" s="1"/>
    </row>
    <row r="12" spans="1:10" ht="15">
      <c r="A12" s="1" t="s">
        <v>34</v>
      </c>
      <c r="B12" s="1" t="s">
        <v>35</v>
      </c>
      <c r="C12" s="1" t="s">
        <v>7</v>
      </c>
      <c r="D12" s="1" t="s">
        <v>138</v>
      </c>
      <c r="E12" s="1" t="s">
        <v>139</v>
      </c>
      <c r="F12" s="1" t="s">
        <v>119</v>
      </c>
      <c r="G12" s="1" t="s">
        <v>119</v>
      </c>
      <c r="H12" s="1" t="s">
        <v>119</v>
      </c>
      <c r="I12" s="1" t="s">
        <v>119</v>
      </c>
      <c r="J12" s="1"/>
    </row>
    <row r="13" spans="1:10" ht="15">
      <c r="A13" s="1" t="s">
        <v>36</v>
      </c>
      <c r="B13" s="1" t="s">
        <v>37</v>
      </c>
      <c r="C13" s="1" t="s">
        <v>7</v>
      </c>
      <c r="D13" s="1" t="s">
        <v>140</v>
      </c>
      <c r="E13" s="1" t="s">
        <v>141</v>
      </c>
      <c r="F13" s="1" t="s">
        <v>119</v>
      </c>
      <c r="G13" s="1" t="s">
        <v>119</v>
      </c>
      <c r="H13" s="1" t="s">
        <v>119</v>
      </c>
      <c r="I13" s="1" t="s">
        <v>119</v>
      </c>
      <c r="J13" s="1"/>
    </row>
    <row r="14" spans="1:10" ht="30">
      <c r="A14" s="1" t="s">
        <v>39</v>
      </c>
      <c r="B14" s="1" t="s">
        <v>40</v>
      </c>
      <c r="C14" s="1" t="s">
        <v>7</v>
      </c>
      <c r="D14" s="1" t="s">
        <v>142</v>
      </c>
      <c r="E14" s="1" t="s">
        <v>143</v>
      </c>
      <c r="F14" s="1" t="s">
        <v>119</v>
      </c>
      <c r="G14" s="1" t="s">
        <v>119</v>
      </c>
      <c r="H14" s="1" t="s">
        <v>119</v>
      </c>
      <c r="I14" s="1" t="s">
        <v>119</v>
      </c>
      <c r="J14" s="1"/>
    </row>
    <row r="15" spans="1:10" ht="15">
      <c r="A15" s="1" t="s">
        <v>41</v>
      </c>
      <c r="B15" s="1" t="s">
        <v>42</v>
      </c>
      <c r="C15" s="1" t="s">
        <v>7</v>
      </c>
      <c r="D15" s="1" t="s">
        <v>144</v>
      </c>
      <c r="E15" s="1" t="s">
        <v>145</v>
      </c>
      <c r="F15" s="1" t="s">
        <v>119</v>
      </c>
      <c r="G15" s="1" t="s">
        <v>119</v>
      </c>
      <c r="H15" s="1" t="s">
        <v>119</v>
      </c>
      <c r="I15" s="1" t="s">
        <v>119</v>
      </c>
      <c r="J15" s="1"/>
    </row>
    <row r="16" spans="1:10" ht="15">
      <c r="A16" s="1" t="s">
        <v>44</v>
      </c>
      <c r="B16" s="1" t="s">
        <v>45</v>
      </c>
      <c r="C16" s="1" t="s">
        <v>7</v>
      </c>
      <c r="D16" s="1" t="s">
        <v>146</v>
      </c>
      <c r="E16" s="1" t="s">
        <v>147</v>
      </c>
      <c r="F16" s="1" t="s">
        <v>119</v>
      </c>
      <c r="G16" s="1" t="s">
        <v>119</v>
      </c>
      <c r="H16" s="1" t="s">
        <v>119</v>
      </c>
      <c r="I16" s="1" t="s">
        <v>119</v>
      </c>
      <c r="J16" s="1"/>
    </row>
    <row r="17" spans="1:10" ht="30">
      <c r="A17" s="1" t="s">
        <v>47</v>
      </c>
      <c r="B17" s="1" t="s">
        <v>48</v>
      </c>
      <c r="C17" s="1" t="s">
        <v>49</v>
      </c>
      <c r="D17" s="1" t="s">
        <v>148</v>
      </c>
      <c r="E17" s="1" t="s">
        <v>149</v>
      </c>
      <c r="F17" s="1" t="s">
        <v>119</v>
      </c>
      <c r="G17" s="1" t="s">
        <v>119</v>
      </c>
      <c r="H17" s="1" t="s">
        <v>119</v>
      </c>
      <c r="I17" s="1" t="s">
        <v>119</v>
      </c>
      <c r="J17" s="1"/>
    </row>
    <row r="18" spans="1:10" ht="30">
      <c r="A18" s="1" t="s">
        <v>52</v>
      </c>
      <c r="B18" s="1" t="s">
        <v>53</v>
      </c>
      <c r="C18" s="1" t="s">
        <v>54</v>
      </c>
      <c r="D18" s="1" t="s">
        <v>150</v>
      </c>
      <c r="E18" s="1" t="s">
        <v>151</v>
      </c>
      <c r="F18" s="1" t="s">
        <v>119</v>
      </c>
      <c r="G18" s="1" t="s">
        <v>119</v>
      </c>
      <c r="H18" s="1" t="s">
        <v>119</v>
      </c>
      <c r="I18" s="1" t="s">
        <v>119</v>
      </c>
      <c r="J18" s="1"/>
    </row>
    <row r="19" spans="1:10" ht="30">
      <c r="A19" s="1" t="s">
        <v>55</v>
      </c>
      <c r="B19" s="1" t="s">
        <v>56</v>
      </c>
      <c r="C19" s="1" t="s">
        <v>49</v>
      </c>
      <c r="D19" s="1" t="s">
        <v>152</v>
      </c>
      <c r="E19" s="1" t="s">
        <v>153</v>
      </c>
      <c r="F19" s="1" t="s">
        <v>119</v>
      </c>
      <c r="G19" s="1" t="s">
        <v>119</v>
      </c>
      <c r="H19" s="1" t="s">
        <v>119</v>
      </c>
      <c r="I19" s="1" t="s">
        <v>119</v>
      </c>
      <c r="J19" s="1"/>
    </row>
    <row r="20" spans="1:10" ht="15">
      <c r="A20" s="1" t="s">
        <v>58</v>
      </c>
      <c r="B20" s="1" t="s">
        <v>59</v>
      </c>
      <c r="C20" s="1" t="s">
        <v>60</v>
      </c>
      <c r="D20" s="1" t="s">
        <v>154</v>
      </c>
      <c r="E20" s="1" t="s">
        <v>155</v>
      </c>
      <c r="F20" s="1" t="s">
        <v>119</v>
      </c>
      <c r="G20" s="1" t="s">
        <v>119</v>
      </c>
      <c r="H20" s="1" t="s">
        <v>119</v>
      </c>
      <c r="I20" s="1" t="s">
        <v>119</v>
      </c>
      <c r="J20" s="1"/>
    </row>
    <row r="21" spans="1:10" ht="30">
      <c r="A21" s="1" t="s">
        <v>62</v>
      </c>
      <c r="B21" s="1" t="s">
        <v>63</v>
      </c>
      <c r="C21" s="1" t="s">
        <v>64</v>
      </c>
      <c r="D21" s="1" t="s">
        <v>156</v>
      </c>
      <c r="E21" s="1" t="s">
        <v>157</v>
      </c>
      <c r="F21" s="1" t="s">
        <v>119</v>
      </c>
      <c r="G21" s="1" t="s">
        <v>119</v>
      </c>
      <c r="H21" s="1" t="s">
        <v>119</v>
      </c>
      <c r="I21" s="1" t="s">
        <v>119</v>
      </c>
      <c r="J21" s="1" t="s">
        <v>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1"/>
  <sheetViews>
    <sheetView zoomScale="75" workbookViewId="0"/>
  </sheetViews>
  <sheetFormatPr baseColWidth="10" defaultColWidth="8.83203125" defaultRowHeight="14"/>
  <cols>
    <col min="1" max="1" width="13" customWidth="1"/>
    <col min="2" max="2" width="9" customWidth="1"/>
    <col min="3" max="3" width="28" customWidth="1"/>
    <col min="4" max="4" width="14" customWidth="1"/>
    <col min="5" max="5" width="65" customWidth="1"/>
    <col min="6" max="6" width="62" customWidth="1"/>
    <col min="7" max="7" width="42" customWidth="1"/>
    <col min="8" max="9" width="14" customWidth="1"/>
    <col min="10" max="10" width="74" customWidth="1"/>
  </cols>
  <sheetData>
    <row r="1" spans="1:10" ht="16">
      <c r="A1" s="2" t="s">
        <v>0</v>
      </c>
      <c r="B1" s="2" t="s">
        <v>159</v>
      </c>
      <c r="C1" s="2" t="s">
        <v>4</v>
      </c>
      <c r="D1" s="2" t="s">
        <v>160</v>
      </c>
      <c r="E1" s="2" t="s">
        <v>161</v>
      </c>
      <c r="F1" s="2" t="s">
        <v>162</v>
      </c>
      <c r="G1" s="2" t="s">
        <v>163</v>
      </c>
      <c r="H1" s="2" t="s">
        <v>164</v>
      </c>
      <c r="I1" s="2" t="s">
        <v>165</v>
      </c>
      <c r="J1" s="2" t="s">
        <v>116</v>
      </c>
    </row>
    <row r="2" spans="1:10" ht="15">
      <c r="A2" s="1" t="s">
        <v>5</v>
      </c>
      <c r="B2" s="1">
        <v>2022</v>
      </c>
      <c r="C2" s="1" t="s">
        <v>166</v>
      </c>
      <c r="D2" s="1" t="s">
        <v>167</v>
      </c>
      <c r="E2" s="1" t="s">
        <v>168</v>
      </c>
      <c r="F2" s="1" t="s">
        <v>117</v>
      </c>
      <c r="G2" s="1" t="s">
        <v>169</v>
      </c>
      <c r="H2" s="1" t="s">
        <v>51</v>
      </c>
      <c r="I2" s="1" t="s">
        <v>51</v>
      </c>
      <c r="J2" s="1"/>
    </row>
    <row r="3" spans="1:10" ht="15">
      <c r="A3" s="1" t="s">
        <v>5</v>
      </c>
      <c r="B3" s="1">
        <v>2022</v>
      </c>
      <c r="C3" s="1" t="s">
        <v>170</v>
      </c>
      <c r="D3" s="1" t="s">
        <v>167</v>
      </c>
      <c r="E3" s="1" t="s">
        <v>171</v>
      </c>
      <c r="F3" s="1" t="s">
        <v>118</v>
      </c>
      <c r="G3" s="1" t="s">
        <v>172</v>
      </c>
      <c r="H3" s="1" t="s">
        <v>51</v>
      </c>
      <c r="I3" s="1" t="s">
        <v>51</v>
      </c>
      <c r="J3" s="1"/>
    </row>
    <row r="4" spans="1:10" ht="30">
      <c r="A4" s="1" t="s">
        <v>5</v>
      </c>
      <c r="B4" s="1">
        <v>2022</v>
      </c>
      <c r="C4" s="1" t="s">
        <v>173</v>
      </c>
      <c r="D4" s="1" t="s">
        <v>174</v>
      </c>
      <c r="E4" s="1" t="s">
        <v>175</v>
      </c>
      <c r="F4" s="1" t="s">
        <v>118</v>
      </c>
      <c r="G4" s="1" t="s">
        <v>176</v>
      </c>
      <c r="H4" s="1" t="s">
        <v>51</v>
      </c>
      <c r="I4" s="1" t="s">
        <v>51</v>
      </c>
      <c r="J4" s="1" t="s">
        <v>177</v>
      </c>
    </row>
    <row r="5" spans="1:10" ht="15">
      <c r="A5" s="1" t="s">
        <v>5</v>
      </c>
      <c r="B5" s="1">
        <v>2023</v>
      </c>
      <c r="C5" s="1" t="s">
        <v>166</v>
      </c>
      <c r="D5" s="1" t="s">
        <v>167</v>
      </c>
      <c r="E5" s="1" t="s">
        <v>168</v>
      </c>
      <c r="F5" s="1" t="s">
        <v>117</v>
      </c>
      <c r="G5" s="1" t="s">
        <v>178</v>
      </c>
      <c r="H5" s="1" t="s">
        <v>51</v>
      </c>
      <c r="I5" s="1" t="s">
        <v>51</v>
      </c>
      <c r="J5" s="1"/>
    </row>
    <row r="6" spans="1:10" ht="15">
      <c r="A6" s="1" t="s">
        <v>5</v>
      </c>
      <c r="B6" s="1">
        <v>2023</v>
      </c>
      <c r="C6" s="1" t="s">
        <v>170</v>
      </c>
      <c r="D6" s="1" t="s">
        <v>167</v>
      </c>
      <c r="E6" s="1" t="s">
        <v>171</v>
      </c>
      <c r="F6" s="1" t="s">
        <v>118</v>
      </c>
      <c r="G6" s="1" t="s">
        <v>179</v>
      </c>
      <c r="H6" s="1" t="s">
        <v>51</v>
      </c>
      <c r="I6" s="1" t="s">
        <v>51</v>
      </c>
      <c r="J6" s="1"/>
    </row>
    <row r="7" spans="1:10" ht="30">
      <c r="A7" s="1" t="s">
        <v>5</v>
      </c>
      <c r="B7" s="1">
        <v>2023</v>
      </c>
      <c r="C7" s="1" t="s">
        <v>173</v>
      </c>
      <c r="D7" s="1" t="s">
        <v>174</v>
      </c>
      <c r="E7" s="1" t="s">
        <v>175</v>
      </c>
      <c r="F7" s="1" t="s">
        <v>118</v>
      </c>
      <c r="G7" s="1" t="s">
        <v>180</v>
      </c>
      <c r="H7" s="1" t="s">
        <v>51</v>
      </c>
      <c r="I7" s="1" t="s">
        <v>51</v>
      </c>
      <c r="J7" s="1" t="s">
        <v>177</v>
      </c>
    </row>
    <row r="8" spans="1:10" ht="15">
      <c r="A8" s="1" t="s">
        <v>5</v>
      </c>
      <c r="B8" s="1">
        <v>2024</v>
      </c>
      <c r="C8" s="1" t="s">
        <v>166</v>
      </c>
      <c r="D8" s="1" t="s">
        <v>167</v>
      </c>
      <c r="E8" s="1" t="s">
        <v>168</v>
      </c>
      <c r="F8" s="1" t="s">
        <v>117</v>
      </c>
      <c r="G8" s="1" t="s">
        <v>181</v>
      </c>
      <c r="H8" s="1" t="s">
        <v>51</v>
      </c>
      <c r="I8" s="1" t="s">
        <v>51</v>
      </c>
      <c r="J8" s="1"/>
    </row>
    <row r="9" spans="1:10" ht="15">
      <c r="A9" s="1" t="s">
        <v>5</v>
      </c>
      <c r="B9" s="1">
        <v>2024</v>
      </c>
      <c r="C9" s="1" t="s">
        <v>170</v>
      </c>
      <c r="D9" s="1" t="s">
        <v>167</v>
      </c>
      <c r="E9" s="1" t="s">
        <v>171</v>
      </c>
      <c r="F9" s="1" t="s">
        <v>118</v>
      </c>
      <c r="G9" s="1" t="s">
        <v>182</v>
      </c>
      <c r="H9" s="1" t="s">
        <v>51</v>
      </c>
      <c r="I9" s="1" t="s">
        <v>51</v>
      </c>
      <c r="J9" s="1"/>
    </row>
    <row r="10" spans="1:10" ht="30">
      <c r="A10" s="1" t="s">
        <v>5</v>
      </c>
      <c r="B10" s="1">
        <v>2024</v>
      </c>
      <c r="C10" s="1" t="s">
        <v>173</v>
      </c>
      <c r="D10" s="1" t="s">
        <v>174</v>
      </c>
      <c r="E10" s="1" t="s">
        <v>175</v>
      </c>
      <c r="F10" s="1" t="s">
        <v>118</v>
      </c>
      <c r="G10" s="1" t="s">
        <v>183</v>
      </c>
      <c r="H10" s="1" t="s">
        <v>51</v>
      </c>
      <c r="I10" s="1" t="s">
        <v>51</v>
      </c>
      <c r="J10" s="1" t="s">
        <v>177</v>
      </c>
    </row>
    <row r="11" spans="1:10" ht="15">
      <c r="A11" s="1" t="s">
        <v>5</v>
      </c>
      <c r="B11" s="1">
        <v>2025</v>
      </c>
      <c r="C11" s="1" t="s">
        <v>166</v>
      </c>
      <c r="D11" s="1" t="s">
        <v>167</v>
      </c>
      <c r="E11" s="1" t="s">
        <v>168</v>
      </c>
      <c r="F11" s="1" t="s">
        <v>117</v>
      </c>
      <c r="G11" s="1" t="s">
        <v>184</v>
      </c>
      <c r="H11" s="1" t="s">
        <v>51</v>
      </c>
      <c r="I11" s="1" t="s">
        <v>51</v>
      </c>
      <c r="J11" s="1"/>
    </row>
    <row r="12" spans="1:10" ht="15">
      <c r="A12" s="1" t="s">
        <v>5</v>
      </c>
      <c r="B12" s="1">
        <v>2025</v>
      </c>
      <c r="C12" s="1" t="s">
        <v>170</v>
      </c>
      <c r="D12" s="1" t="s">
        <v>167</v>
      </c>
      <c r="E12" s="1" t="s">
        <v>171</v>
      </c>
      <c r="F12" s="1" t="s">
        <v>118</v>
      </c>
      <c r="G12" s="1" t="s">
        <v>185</v>
      </c>
      <c r="H12" s="1" t="s">
        <v>51</v>
      </c>
      <c r="I12" s="1" t="s">
        <v>51</v>
      </c>
      <c r="J12" s="1"/>
    </row>
    <row r="13" spans="1:10" ht="30">
      <c r="A13" s="1" t="s">
        <v>5</v>
      </c>
      <c r="B13" s="1">
        <v>2025</v>
      </c>
      <c r="C13" s="1" t="s">
        <v>173</v>
      </c>
      <c r="D13" s="1" t="s">
        <v>174</v>
      </c>
      <c r="E13" s="1" t="s">
        <v>175</v>
      </c>
      <c r="F13" s="1" t="s">
        <v>118</v>
      </c>
      <c r="G13" s="1" t="s">
        <v>186</v>
      </c>
      <c r="H13" s="1" t="s">
        <v>51</v>
      </c>
      <c r="I13" s="1" t="s">
        <v>51</v>
      </c>
      <c r="J13" s="1" t="s">
        <v>177</v>
      </c>
    </row>
    <row r="14" spans="1:10" ht="15">
      <c r="A14" s="1" t="s">
        <v>10</v>
      </c>
      <c r="B14" s="1">
        <v>2022</v>
      </c>
      <c r="C14" s="1" t="s">
        <v>166</v>
      </c>
      <c r="D14" s="1" t="s">
        <v>167</v>
      </c>
      <c r="E14" s="1" t="s">
        <v>168</v>
      </c>
      <c r="F14" s="1" t="s">
        <v>120</v>
      </c>
      <c r="G14" s="1" t="s">
        <v>187</v>
      </c>
      <c r="H14" s="1" t="s">
        <v>51</v>
      </c>
      <c r="I14" s="1" t="s">
        <v>51</v>
      </c>
      <c r="J14" s="1"/>
    </row>
    <row r="15" spans="1:10" ht="15">
      <c r="A15" s="1" t="s">
        <v>10</v>
      </c>
      <c r="B15" s="1">
        <v>2022</v>
      </c>
      <c r="C15" s="1" t="s">
        <v>170</v>
      </c>
      <c r="D15" s="1" t="s">
        <v>167</v>
      </c>
      <c r="E15" s="1" t="s">
        <v>171</v>
      </c>
      <c r="F15" s="1" t="s">
        <v>121</v>
      </c>
      <c r="G15" s="1" t="s">
        <v>188</v>
      </c>
      <c r="H15" s="1" t="s">
        <v>51</v>
      </c>
      <c r="I15" s="1" t="s">
        <v>51</v>
      </c>
      <c r="J15" s="1"/>
    </row>
    <row r="16" spans="1:10" ht="30">
      <c r="A16" s="1" t="s">
        <v>10</v>
      </c>
      <c r="B16" s="1">
        <v>2022</v>
      </c>
      <c r="C16" s="1" t="s">
        <v>173</v>
      </c>
      <c r="D16" s="1" t="s">
        <v>174</v>
      </c>
      <c r="E16" s="1" t="s">
        <v>175</v>
      </c>
      <c r="F16" s="1" t="s">
        <v>121</v>
      </c>
      <c r="G16" s="1" t="s">
        <v>189</v>
      </c>
      <c r="H16" s="1" t="s">
        <v>51</v>
      </c>
      <c r="I16" s="1" t="s">
        <v>51</v>
      </c>
      <c r="J16" s="1" t="s">
        <v>177</v>
      </c>
    </row>
    <row r="17" spans="1:10" ht="15">
      <c r="A17" s="1" t="s">
        <v>10</v>
      </c>
      <c r="B17" s="1">
        <v>2023</v>
      </c>
      <c r="C17" s="1" t="s">
        <v>166</v>
      </c>
      <c r="D17" s="1" t="s">
        <v>167</v>
      </c>
      <c r="E17" s="1" t="s">
        <v>168</v>
      </c>
      <c r="F17" s="1" t="s">
        <v>120</v>
      </c>
      <c r="G17" s="1" t="s">
        <v>190</v>
      </c>
      <c r="H17" s="1" t="s">
        <v>51</v>
      </c>
      <c r="I17" s="1" t="s">
        <v>51</v>
      </c>
      <c r="J17" s="1"/>
    </row>
    <row r="18" spans="1:10" ht="15">
      <c r="A18" s="1" t="s">
        <v>10</v>
      </c>
      <c r="B18" s="1">
        <v>2023</v>
      </c>
      <c r="C18" s="1" t="s">
        <v>170</v>
      </c>
      <c r="D18" s="1" t="s">
        <v>167</v>
      </c>
      <c r="E18" s="1" t="s">
        <v>171</v>
      </c>
      <c r="F18" s="1" t="s">
        <v>121</v>
      </c>
      <c r="G18" s="1" t="s">
        <v>191</v>
      </c>
      <c r="H18" s="1" t="s">
        <v>51</v>
      </c>
      <c r="I18" s="1" t="s">
        <v>51</v>
      </c>
      <c r="J18" s="1"/>
    </row>
    <row r="19" spans="1:10" ht="30">
      <c r="A19" s="1" t="s">
        <v>10</v>
      </c>
      <c r="B19" s="1">
        <v>2023</v>
      </c>
      <c r="C19" s="1" t="s">
        <v>173</v>
      </c>
      <c r="D19" s="1" t="s">
        <v>174</v>
      </c>
      <c r="E19" s="1" t="s">
        <v>175</v>
      </c>
      <c r="F19" s="1" t="s">
        <v>121</v>
      </c>
      <c r="G19" s="1" t="s">
        <v>192</v>
      </c>
      <c r="H19" s="1" t="s">
        <v>51</v>
      </c>
      <c r="I19" s="1" t="s">
        <v>51</v>
      </c>
      <c r="J19" s="1" t="s">
        <v>177</v>
      </c>
    </row>
    <row r="20" spans="1:10" ht="15">
      <c r="A20" s="1" t="s">
        <v>10</v>
      </c>
      <c r="B20" s="1">
        <v>2024</v>
      </c>
      <c r="C20" s="1" t="s">
        <v>166</v>
      </c>
      <c r="D20" s="1" t="s">
        <v>167</v>
      </c>
      <c r="E20" s="1" t="s">
        <v>168</v>
      </c>
      <c r="F20" s="1" t="s">
        <v>120</v>
      </c>
      <c r="G20" s="1" t="s">
        <v>193</v>
      </c>
      <c r="H20" s="1" t="s">
        <v>51</v>
      </c>
      <c r="I20" s="1" t="s">
        <v>51</v>
      </c>
      <c r="J20" s="1"/>
    </row>
    <row r="21" spans="1:10" ht="15">
      <c r="A21" s="1" t="s">
        <v>10</v>
      </c>
      <c r="B21" s="1">
        <v>2024</v>
      </c>
      <c r="C21" s="1" t="s">
        <v>170</v>
      </c>
      <c r="D21" s="1" t="s">
        <v>167</v>
      </c>
      <c r="E21" s="1" t="s">
        <v>171</v>
      </c>
      <c r="F21" s="1" t="s">
        <v>121</v>
      </c>
      <c r="G21" s="1" t="s">
        <v>194</v>
      </c>
      <c r="H21" s="1" t="s">
        <v>51</v>
      </c>
      <c r="I21" s="1" t="s">
        <v>51</v>
      </c>
      <c r="J21" s="1"/>
    </row>
    <row r="22" spans="1:10" ht="30">
      <c r="A22" s="1" t="s">
        <v>10</v>
      </c>
      <c r="B22" s="1">
        <v>2024</v>
      </c>
      <c r="C22" s="1" t="s">
        <v>173</v>
      </c>
      <c r="D22" s="1" t="s">
        <v>174</v>
      </c>
      <c r="E22" s="1" t="s">
        <v>175</v>
      </c>
      <c r="F22" s="1" t="s">
        <v>121</v>
      </c>
      <c r="G22" s="1" t="s">
        <v>195</v>
      </c>
      <c r="H22" s="1" t="s">
        <v>51</v>
      </c>
      <c r="I22" s="1" t="s">
        <v>51</v>
      </c>
      <c r="J22" s="1" t="s">
        <v>177</v>
      </c>
    </row>
    <row r="23" spans="1:10" ht="15">
      <c r="A23" s="1" t="s">
        <v>10</v>
      </c>
      <c r="B23" s="1">
        <v>2025</v>
      </c>
      <c r="C23" s="1" t="s">
        <v>166</v>
      </c>
      <c r="D23" s="1" t="s">
        <v>167</v>
      </c>
      <c r="E23" s="1" t="s">
        <v>168</v>
      </c>
      <c r="F23" s="1" t="s">
        <v>120</v>
      </c>
      <c r="G23" s="1" t="s">
        <v>196</v>
      </c>
      <c r="H23" s="1" t="s">
        <v>51</v>
      </c>
      <c r="I23" s="1" t="s">
        <v>51</v>
      </c>
      <c r="J23" s="1"/>
    </row>
    <row r="24" spans="1:10" ht="15">
      <c r="A24" s="1" t="s">
        <v>10</v>
      </c>
      <c r="B24" s="1">
        <v>2025</v>
      </c>
      <c r="C24" s="1" t="s">
        <v>170</v>
      </c>
      <c r="D24" s="1" t="s">
        <v>167</v>
      </c>
      <c r="E24" s="1" t="s">
        <v>171</v>
      </c>
      <c r="F24" s="1" t="s">
        <v>121</v>
      </c>
      <c r="G24" s="1" t="s">
        <v>197</v>
      </c>
      <c r="H24" s="1" t="s">
        <v>51</v>
      </c>
      <c r="I24" s="1" t="s">
        <v>51</v>
      </c>
      <c r="J24" s="1"/>
    </row>
    <row r="25" spans="1:10" ht="30">
      <c r="A25" s="1" t="s">
        <v>10</v>
      </c>
      <c r="B25" s="1">
        <v>2025</v>
      </c>
      <c r="C25" s="1" t="s">
        <v>173</v>
      </c>
      <c r="D25" s="1" t="s">
        <v>174</v>
      </c>
      <c r="E25" s="1" t="s">
        <v>175</v>
      </c>
      <c r="F25" s="1" t="s">
        <v>121</v>
      </c>
      <c r="G25" s="1" t="s">
        <v>198</v>
      </c>
      <c r="H25" s="1" t="s">
        <v>51</v>
      </c>
      <c r="I25" s="1" t="s">
        <v>51</v>
      </c>
      <c r="J25" s="1" t="s">
        <v>177</v>
      </c>
    </row>
    <row r="26" spans="1:10" ht="15">
      <c r="A26" s="1" t="s">
        <v>12</v>
      </c>
      <c r="B26" s="1">
        <v>2022</v>
      </c>
      <c r="C26" s="1" t="s">
        <v>166</v>
      </c>
      <c r="D26" s="1" t="s">
        <v>167</v>
      </c>
      <c r="E26" s="1" t="s">
        <v>168</v>
      </c>
      <c r="F26" s="1" t="s">
        <v>122</v>
      </c>
      <c r="G26" s="1" t="s">
        <v>199</v>
      </c>
      <c r="H26" s="1" t="s">
        <v>51</v>
      </c>
      <c r="I26" s="1" t="s">
        <v>51</v>
      </c>
      <c r="J26" s="1"/>
    </row>
    <row r="27" spans="1:10" ht="15">
      <c r="A27" s="1" t="s">
        <v>12</v>
      </c>
      <c r="B27" s="1">
        <v>2022</v>
      </c>
      <c r="C27" s="1" t="s">
        <v>170</v>
      </c>
      <c r="D27" s="1" t="s">
        <v>167</v>
      </c>
      <c r="E27" s="1" t="s">
        <v>171</v>
      </c>
      <c r="F27" s="1" t="s">
        <v>123</v>
      </c>
      <c r="G27" s="1" t="s">
        <v>200</v>
      </c>
      <c r="H27" s="1" t="s">
        <v>51</v>
      </c>
      <c r="I27" s="1" t="s">
        <v>51</v>
      </c>
      <c r="J27" s="1"/>
    </row>
    <row r="28" spans="1:10" ht="30">
      <c r="A28" s="1" t="s">
        <v>12</v>
      </c>
      <c r="B28" s="1">
        <v>2022</v>
      </c>
      <c r="C28" s="1" t="s">
        <v>173</v>
      </c>
      <c r="D28" s="1" t="s">
        <v>174</v>
      </c>
      <c r="E28" s="1" t="s">
        <v>175</v>
      </c>
      <c r="F28" s="1" t="s">
        <v>123</v>
      </c>
      <c r="G28" s="1" t="s">
        <v>201</v>
      </c>
      <c r="H28" s="1" t="s">
        <v>51</v>
      </c>
      <c r="I28" s="1" t="s">
        <v>51</v>
      </c>
      <c r="J28" s="1" t="s">
        <v>177</v>
      </c>
    </row>
    <row r="29" spans="1:10" ht="15">
      <c r="A29" s="1" t="s">
        <v>12</v>
      </c>
      <c r="B29" s="1">
        <v>2023</v>
      </c>
      <c r="C29" s="1" t="s">
        <v>166</v>
      </c>
      <c r="D29" s="1" t="s">
        <v>167</v>
      </c>
      <c r="E29" s="1" t="s">
        <v>168</v>
      </c>
      <c r="F29" s="1" t="s">
        <v>122</v>
      </c>
      <c r="G29" s="1" t="s">
        <v>202</v>
      </c>
      <c r="H29" s="1" t="s">
        <v>51</v>
      </c>
      <c r="I29" s="1" t="s">
        <v>51</v>
      </c>
      <c r="J29" s="1"/>
    </row>
    <row r="30" spans="1:10" ht="15">
      <c r="A30" s="1" t="s">
        <v>12</v>
      </c>
      <c r="B30" s="1">
        <v>2023</v>
      </c>
      <c r="C30" s="1" t="s">
        <v>170</v>
      </c>
      <c r="D30" s="1" t="s">
        <v>167</v>
      </c>
      <c r="E30" s="1" t="s">
        <v>171</v>
      </c>
      <c r="F30" s="1" t="s">
        <v>123</v>
      </c>
      <c r="G30" s="1" t="s">
        <v>203</v>
      </c>
      <c r="H30" s="1" t="s">
        <v>51</v>
      </c>
      <c r="I30" s="1" t="s">
        <v>51</v>
      </c>
      <c r="J30" s="1"/>
    </row>
    <row r="31" spans="1:10" ht="30">
      <c r="A31" s="1" t="s">
        <v>12</v>
      </c>
      <c r="B31" s="1">
        <v>2023</v>
      </c>
      <c r="C31" s="1" t="s">
        <v>173</v>
      </c>
      <c r="D31" s="1" t="s">
        <v>174</v>
      </c>
      <c r="E31" s="1" t="s">
        <v>175</v>
      </c>
      <c r="F31" s="1" t="s">
        <v>123</v>
      </c>
      <c r="G31" s="1" t="s">
        <v>204</v>
      </c>
      <c r="H31" s="1" t="s">
        <v>51</v>
      </c>
      <c r="I31" s="1" t="s">
        <v>51</v>
      </c>
      <c r="J31" s="1" t="s">
        <v>177</v>
      </c>
    </row>
    <row r="32" spans="1:10" ht="15">
      <c r="A32" s="1" t="s">
        <v>12</v>
      </c>
      <c r="B32" s="1">
        <v>2024</v>
      </c>
      <c r="C32" s="1" t="s">
        <v>166</v>
      </c>
      <c r="D32" s="1" t="s">
        <v>167</v>
      </c>
      <c r="E32" s="1" t="s">
        <v>168</v>
      </c>
      <c r="F32" s="1" t="s">
        <v>122</v>
      </c>
      <c r="G32" s="1" t="s">
        <v>205</v>
      </c>
      <c r="H32" s="1" t="s">
        <v>51</v>
      </c>
      <c r="I32" s="1" t="s">
        <v>51</v>
      </c>
      <c r="J32" s="1"/>
    </row>
    <row r="33" spans="1:10" ht="15">
      <c r="A33" s="1" t="s">
        <v>12</v>
      </c>
      <c r="B33" s="1">
        <v>2024</v>
      </c>
      <c r="C33" s="1" t="s">
        <v>170</v>
      </c>
      <c r="D33" s="1" t="s">
        <v>167</v>
      </c>
      <c r="E33" s="1" t="s">
        <v>171</v>
      </c>
      <c r="F33" s="1" t="s">
        <v>123</v>
      </c>
      <c r="G33" s="1" t="s">
        <v>206</v>
      </c>
      <c r="H33" s="1" t="s">
        <v>51</v>
      </c>
      <c r="I33" s="1" t="s">
        <v>51</v>
      </c>
      <c r="J33" s="1"/>
    </row>
    <row r="34" spans="1:10" ht="30">
      <c r="A34" s="1" t="s">
        <v>12</v>
      </c>
      <c r="B34" s="1">
        <v>2024</v>
      </c>
      <c r="C34" s="1" t="s">
        <v>173</v>
      </c>
      <c r="D34" s="1" t="s">
        <v>174</v>
      </c>
      <c r="E34" s="1" t="s">
        <v>175</v>
      </c>
      <c r="F34" s="1" t="s">
        <v>123</v>
      </c>
      <c r="G34" s="1" t="s">
        <v>207</v>
      </c>
      <c r="H34" s="1" t="s">
        <v>51</v>
      </c>
      <c r="I34" s="1" t="s">
        <v>51</v>
      </c>
      <c r="J34" s="1" t="s">
        <v>177</v>
      </c>
    </row>
    <row r="35" spans="1:10" ht="15">
      <c r="A35" s="1" t="s">
        <v>12</v>
      </c>
      <c r="B35" s="1">
        <v>2025</v>
      </c>
      <c r="C35" s="1" t="s">
        <v>166</v>
      </c>
      <c r="D35" s="1" t="s">
        <v>167</v>
      </c>
      <c r="E35" s="1" t="s">
        <v>168</v>
      </c>
      <c r="F35" s="1" t="s">
        <v>122</v>
      </c>
      <c r="G35" s="1" t="s">
        <v>208</v>
      </c>
      <c r="H35" s="1" t="s">
        <v>51</v>
      </c>
      <c r="I35" s="1" t="s">
        <v>51</v>
      </c>
      <c r="J35" s="1"/>
    </row>
    <row r="36" spans="1:10" ht="15">
      <c r="A36" s="1" t="s">
        <v>12</v>
      </c>
      <c r="B36" s="1">
        <v>2025</v>
      </c>
      <c r="C36" s="1" t="s">
        <v>170</v>
      </c>
      <c r="D36" s="1" t="s">
        <v>167</v>
      </c>
      <c r="E36" s="1" t="s">
        <v>171</v>
      </c>
      <c r="F36" s="1" t="s">
        <v>123</v>
      </c>
      <c r="G36" s="1" t="s">
        <v>209</v>
      </c>
      <c r="H36" s="1" t="s">
        <v>51</v>
      </c>
      <c r="I36" s="1" t="s">
        <v>51</v>
      </c>
      <c r="J36" s="1"/>
    </row>
    <row r="37" spans="1:10" ht="30">
      <c r="A37" s="1" t="s">
        <v>12</v>
      </c>
      <c r="B37" s="1">
        <v>2025</v>
      </c>
      <c r="C37" s="1" t="s">
        <v>173</v>
      </c>
      <c r="D37" s="1" t="s">
        <v>174</v>
      </c>
      <c r="E37" s="1" t="s">
        <v>175</v>
      </c>
      <c r="F37" s="1" t="s">
        <v>123</v>
      </c>
      <c r="G37" s="1" t="s">
        <v>210</v>
      </c>
      <c r="H37" s="1" t="s">
        <v>51</v>
      </c>
      <c r="I37" s="1" t="s">
        <v>51</v>
      </c>
      <c r="J37" s="1" t="s">
        <v>177</v>
      </c>
    </row>
    <row r="38" spans="1:10" ht="15">
      <c r="A38" s="1" t="s">
        <v>14</v>
      </c>
      <c r="B38" s="1">
        <v>2022</v>
      </c>
      <c r="C38" s="1" t="s">
        <v>166</v>
      </c>
      <c r="D38" s="1" t="s">
        <v>167</v>
      </c>
      <c r="E38" s="1" t="s">
        <v>168</v>
      </c>
      <c r="F38" s="1" t="s">
        <v>124</v>
      </c>
      <c r="G38" s="1" t="s">
        <v>211</v>
      </c>
      <c r="H38" s="1" t="s">
        <v>51</v>
      </c>
      <c r="I38" s="1" t="s">
        <v>51</v>
      </c>
      <c r="J38" s="1"/>
    </row>
    <row r="39" spans="1:10" ht="15">
      <c r="A39" s="1" t="s">
        <v>14</v>
      </c>
      <c r="B39" s="1">
        <v>2022</v>
      </c>
      <c r="C39" s="1" t="s">
        <v>170</v>
      </c>
      <c r="D39" s="1" t="s">
        <v>167</v>
      </c>
      <c r="E39" s="1" t="s">
        <v>171</v>
      </c>
      <c r="F39" s="1" t="s">
        <v>125</v>
      </c>
      <c r="G39" s="1" t="s">
        <v>212</v>
      </c>
      <c r="H39" s="1" t="s">
        <v>51</v>
      </c>
      <c r="I39" s="1" t="s">
        <v>51</v>
      </c>
      <c r="J39" s="1"/>
    </row>
    <row r="40" spans="1:10" ht="30">
      <c r="A40" s="1" t="s">
        <v>14</v>
      </c>
      <c r="B40" s="1">
        <v>2022</v>
      </c>
      <c r="C40" s="1" t="s">
        <v>173</v>
      </c>
      <c r="D40" s="1" t="s">
        <v>174</v>
      </c>
      <c r="E40" s="1" t="s">
        <v>175</v>
      </c>
      <c r="F40" s="1" t="s">
        <v>125</v>
      </c>
      <c r="G40" s="1" t="s">
        <v>213</v>
      </c>
      <c r="H40" s="1" t="s">
        <v>51</v>
      </c>
      <c r="I40" s="1" t="s">
        <v>51</v>
      </c>
      <c r="J40" s="1" t="s">
        <v>177</v>
      </c>
    </row>
    <row r="41" spans="1:10" ht="15">
      <c r="A41" s="1" t="s">
        <v>14</v>
      </c>
      <c r="B41" s="1">
        <v>2023</v>
      </c>
      <c r="C41" s="1" t="s">
        <v>166</v>
      </c>
      <c r="D41" s="1" t="s">
        <v>167</v>
      </c>
      <c r="E41" s="1" t="s">
        <v>168</v>
      </c>
      <c r="F41" s="1" t="s">
        <v>124</v>
      </c>
      <c r="G41" s="1" t="s">
        <v>214</v>
      </c>
      <c r="H41" s="1" t="s">
        <v>51</v>
      </c>
      <c r="I41" s="1" t="s">
        <v>51</v>
      </c>
      <c r="J41" s="1"/>
    </row>
    <row r="42" spans="1:10" ht="15">
      <c r="A42" s="1" t="s">
        <v>14</v>
      </c>
      <c r="B42" s="1">
        <v>2023</v>
      </c>
      <c r="C42" s="1" t="s">
        <v>170</v>
      </c>
      <c r="D42" s="1" t="s">
        <v>167</v>
      </c>
      <c r="E42" s="1" t="s">
        <v>171</v>
      </c>
      <c r="F42" s="1" t="s">
        <v>125</v>
      </c>
      <c r="G42" s="1" t="s">
        <v>215</v>
      </c>
      <c r="H42" s="1" t="s">
        <v>51</v>
      </c>
      <c r="I42" s="1" t="s">
        <v>51</v>
      </c>
      <c r="J42" s="1"/>
    </row>
    <row r="43" spans="1:10" ht="30">
      <c r="A43" s="1" t="s">
        <v>14</v>
      </c>
      <c r="B43" s="1">
        <v>2023</v>
      </c>
      <c r="C43" s="1" t="s">
        <v>173</v>
      </c>
      <c r="D43" s="1" t="s">
        <v>174</v>
      </c>
      <c r="E43" s="1" t="s">
        <v>175</v>
      </c>
      <c r="F43" s="1" t="s">
        <v>125</v>
      </c>
      <c r="G43" s="1" t="s">
        <v>216</v>
      </c>
      <c r="H43" s="1" t="s">
        <v>51</v>
      </c>
      <c r="I43" s="1" t="s">
        <v>51</v>
      </c>
      <c r="J43" s="1" t="s">
        <v>177</v>
      </c>
    </row>
    <row r="44" spans="1:10" ht="15">
      <c r="A44" s="1" t="s">
        <v>14</v>
      </c>
      <c r="B44" s="1">
        <v>2024</v>
      </c>
      <c r="C44" s="1" t="s">
        <v>166</v>
      </c>
      <c r="D44" s="1" t="s">
        <v>167</v>
      </c>
      <c r="E44" s="1" t="s">
        <v>168</v>
      </c>
      <c r="F44" s="1" t="s">
        <v>124</v>
      </c>
      <c r="G44" s="1" t="s">
        <v>217</v>
      </c>
      <c r="H44" s="1" t="s">
        <v>51</v>
      </c>
      <c r="I44" s="1" t="s">
        <v>51</v>
      </c>
      <c r="J44" s="1"/>
    </row>
    <row r="45" spans="1:10" ht="15">
      <c r="A45" s="1" t="s">
        <v>14</v>
      </c>
      <c r="B45" s="1">
        <v>2024</v>
      </c>
      <c r="C45" s="1" t="s">
        <v>170</v>
      </c>
      <c r="D45" s="1" t="s">
        <v>167</v>
      </c>
      <c r="E45" s="1" t="s">
        <v>171</v>
      </c>
      <c r="F45" s="1" t="s">
        <v>125</v>
      </c>
      <c r="G45" s="1" t="s">
        <v>218</v>
      </c>
      <c r="H45" s="1" t="s">
        <v>51</v>
      </c>
      <c r="I45" s="1" t="s">
        <v>51</v>
      </c>
      <c r="J45" s="1"/>
    </row>
    <row r="46" spans="1:10" ht="30">
      <c r="A46" s="1" t="s">
        <v>14</v>
      </c>
      <c r="B46" s="1">
        <v>2024</v>
      </c>
      <c r="C46" s="1" t="s">
        <v>173</v>
      </c>
      <c r="D46" s="1" t="s">
        <v>174</v>
      </c>
      <c r="E46" s="1" t="s">
        <v>175</v>
      </c>
      <c r="F46" s="1" t="s">
        <v>125</v>
      </c>
      <c r="G46" s="1" t="s">
        <v>219</v>
      </c>
      <c r="H46" s="1" t="s">
        <v>51</v>
      </c>
      <c r="I46" s="1" t="s">
        <v>51</v>
      </c>
      <c r="J46" s="1" t="s">
        <v>177</v>
      </c>
    </row>
    <row r="47" spans="1:10" ht="15">
      <c r="A47" s="1" t="s">
        <v>14</v>
      </c>
      <c r="B47" s="1">
        <v>2025</v>
      </c>
      <c r="C47" s="1" t="s">
        <v>166</v>
      </c>
      <c r="D47" s="1" t="s">
        <v>167</v>
      </c>
      <c r="E47" s="1" t="s">
        <v>168</v>
      </c>
      <c r="F47" s="1" t="s">
        <v>124</v>
      </c>
      <c r="G47" s="1" t="s">
        <v>220</v>
      </c>
      <c r="H47" s="1" t="s">
        <v>51</v>
      </c>
      <c r="I47" s="1" t="s">
        <v>51</v>
      </c>
      <c r="J47" s="1"/>
    </row>
    <row r="48" spans="1:10" ht="15">
      <c r="A48" s="1" t="s">
        <v>14</v>
      </c>
      <c r="B48" s="1">
        <v>2025</v>
      </c>
      <c r="C48" s="1" t="s">
        <v>170</v>
      </c>
      <c r="D48" s="1" t="s">
        <v>167</v>
      </c>
      <c r="E48" s="1" t="s">
        <v>171</v>
      </c>
      <c r="F48" s="1" t="s">
        <v>125</v>
      </c>
      <c r="G48" s="1" t="s">
        <v>221</v>
      </c>
      <c r="H48" s="1" t="s">
        <v>51</v>
      </c>
      <c r="I48" s="1" t="s">
        <v>51</v>
      </c>
      <c r="J48" s="1"/>
    </row>
    <row r="49" spans="1:10" ht="30">
      <c r="A49" s="1" t="s">
        <v>14</v>
      </c>
      <c r="B49" s="1">
        <v>2025</v>
      </c>
      <c r="C49" s="1" t="s">
        <v>173</v>
      </c>
      <c r="D49" s="1" t="s">
        <v>174</v>
      </c>
      <c r="E49" s="1" t="s">
        <v>175</v>
      </c>
      <c r="F49" s="1" t="s">
        <v>125</v>
      </c>
      <c r="G49" s="1" t="s">
        <v>222</v>
      </c>
      <c r="H49" s="1" t="s">
        <v>51</v>
      </c>
      <c r="I49" s="1" t="s">
        <v>51</v>
      </c>
      <c r="J49" s="1" t="s">
        <v>177</v>
      </c>
    </row>
    <row r="50" spans="1:10" ht="30">
      <c r="A50" s="1" t="s">
        <v>16</v>
      </c>
      <c r="B50" s="1">
        <v>2022</v>
      </c>
      <c r="C50" s="1" t="s">
        <v>166</v>
      </c>
      <c r="D50" s="1" t="s">
        <v>167</v>
      </c>
      <c r="E50" s="1" t="s">
        <v>168</v>
      </c>
      <c r="F50" s="1" t="s">
        <v>126</v>
      </c>
      <c r="G50" s="1" t="s">
        <v>223</v>
      </c>
      <c r="H50" s="1" t="s">
        <v>51</v>
      </c>
      <c r="I50" s="1" t="s">
        <v>51</v>
      </c>
      <c r="J50" s="1"/>
    </row>
    <row r="51" spans="1:10" ht="15">
      <c r="A51" s="1" t="s">
        <v>16</v>
      </c>
      <c r="B51" s="1">
        <v>2022</v>
      </c>
      <c r="C51" s="1" t="s">
        <v>170</v>
      </c>
      <c r="D51" s="1" t="s">
        <v>167</v>
      </c>
      <c r="E51" s="1" t="s">
        <v>171</v>
      </c>
      <c r="F51" s="1" t="s">
        <v>127</v>
      </c>
      <c r="G51" s="1" t="s">
        <v>224</v>
      </c>
      <c r="H51" s="1" t="s">
        <v>51</v>
      </c>
      <c r="I51" s="1" t="s">
        <v>51</v>
      </c>
      <c r="J51" s="1"/>
    </row>
    <row r="52" spans="1:10" ht="30">
      <c r="A52" s="1" t="s">
        <v>16</v>
      </c>
      <c r="B52" s="1">
        <v>2022</v>
      </c>
      <c r="C52" s="1" t="s">
        <v>173</v>
      </c>
      <c r="D52" s="1" t="s">
        <v>174</v>
      </c>
      <c r="E52" s="1" t="s">
        <v>175</v>
      </c>
      <c r="F52" s="1" t="s">
        <v>127</v>
      </c>
      <c r="G52" s="1" t="s">
        <v>225</v>
      </c>
      <c r="H52" s="1" t="s">
        <v>51</v>
      </c>
      <c r="I52" s="1" t="s">
        <v>51</v>
      </c>
      <c r="J52" s="1" t="s">
        <v>177</v>
      </c>
    </row>
    <row r="53" spans="1:10" ht="30">
      <c r="A53" s="1" t="s">
        <v>16</v>
      </c>
      <c r="B53" s="1">
        <v>2023</v>
      </c>
      <c r="C53" s="1" t="s">
        <v>166</v>
      </c>
      <c r="D53" s="1" t="s">
        <v>167</v>
      </c>
      <c r="E53" s="1" t="s">
        <v>168</v>
      </c>
      <c r="F53" s="1" t="s">
        <v>126</v>
      </c>
      <c r="G53" s="1" t="s">
        <v>226</v>
      </c>
      <c r="H53" s="1" t="s">
        <v>51</v>
      </c>
      <c r="I53" s="1" t="s">
        <v>51</v>
      </c>
      <c r="J53" s="1"/>
    </row>
    <row r="54" spans="1:10" ht="15">
      <c r="A54" s="1" t="s">
        <v>16</v>
      </c>
      <c r="B54" s="1">
        <v>2023</v>
      </c>
      <c r="C54" s="1" t="s">
        <v>170</v>
      </c>
      <c r="D54" s="1" t="s">
        <v>167</v>
      </c>
      <c r="E54" s="1" t="s">
        <v>171</v>
      </c>
      <c r="F54" s="1" t="s">
        <v>127</v>
      </c>
      <c r="G54" s="1" t="s">
        <v>227</v>
      </c>
      <c r="H54" s="1" t="s">
        <v>51</v>
      </c>
      <c r="I54" s="1" t="s">
        <v>51</v>
      </c>
      <c r="J54" s="1"/>
    </row>
    <row r="55" spans="1:10" ht="30">
      <c r="A55" s="1" t="s">
        <v>16</v>
      </c>
      <c r="B55" s="1">
        <v>2023</v>
      </c>
      <c r="C55" s="1" t="s">
        <v>173</v>
      </c>
      <c r="D55" s="1" t="s">
        <v>174</v>
      </c>
      <c r="E55" s="1" t="s">
        <v>175</v>
      </c>
      <c r="F55" s="1" t="s">
        <v>127</v>
      </c>
      <c r="G55" s="1" t="s">
        <v>228</v>
      </c>
      <c r="H55" s="1" t="s">
        <v>51</v>
      </c>
      <c r="I55" s="1" t="s">
        <v>51</v>
      </c>
      <c r="J55" s="1" t="s">
        <v>177</v>
      </c>
    </row>
    <row r="56" spans="1:10" ht="30">
      <c r="A56" s="1" t="s">
        <v>16</v>
      </c>
      <c r="B56" s="1">
        <v>2024</v>
      </c>
      <c r="C56" s="1" t="s">
        <v>166</v>
      </c>
      <c r="D56" s="1" t="s">
        <v>167</v>
      </c>
      <c r="E56" s="1" t="s">
        <v>168</v>
      </c>
      <c r="F56" s="1" t="s">
        <v>126</v>
      </c>
      <c r="G56" s="1" t="s">
        <v>229</v>
      </c>
      <c r="H56" s="1" t="s">
        <v>51</v>
      </c>
      <c r="I56" s="1" t="s">
        <v>51</v>
      </c>
      <c r="J56" s="1"/>
    </row>
    <row r="57" spans="1:10" ht="15">
      <c r="A57" s="1" t="s">
        <v>16</v>
      </c>
      <c r="B57" s="1">
        <v>2024</v>
      </c>
      <c r="C57" s="1" t="s">
        <v>170</v>
      </c>
      <c r="D57" s="1" t="s">
        <v>167</v>
      </c>
      <c r="E57" s="1" t="s">
        <v>171</v>
      </c>
      <c r="F57" s="1" t="s">
        <v>127</v>
      </c>
      <c r="G57" s="1" t="s">
        <v>230</v>
      </c>
      <c r="H57" s="1" t="s">
        <v>51</v>
      </c>
      <c r="I57" s="1" t="s">
        <v>51</v>
      </c>
      <c r="J57" s="1"/>
    </row>
    <row r="58" spans="1:10" ht="30">
      <c r="A58" s="1" t="s">
        <v>16</v>
      </c>
      <c r="B58" s="1">
        <v>2024</v>
      </c>
      <c r="C58" s="1" t="s">
        <v>173</v>
      </c>
      <c r="D58" s="1" t="s">
        <v>174</v>
      </c>
      <c r="E58" s="1" t="s">
        <v>175</v>
      </c>
      <c r="F58" s="1" t="s">
        <v>127</v>
      </c>
      <c r="G58" s="1" t="s">
        <v>231</v>
      </c>
      <c r="H58" s="1" t="s">
        <v>51</v>
      </c>
      <c r="I58" s="1" t="s">
        <v>51</v>
      </c>
      <c r="J58" s="1" t="s">
        <v>177</v>
      </c>
    </row>
    <row r="59" spans="1:10" ht="30">
      <c r="A59" s="1" t="s">
        <v>16</v>
      </c>
      <c r="B59" s="1">
        <v>2025</v>
      </c>
      <c r="C59" s="1" t="s">
        <v>166</v>
      </c>
      <c r="D59" s="1" t="s">
        <v>167</v>
      </c>
      <c r="E59" s="1" t="s">
        <v>168</v>
      </c>
      <c r="F59" s="1" t="s">
        <v>126</v>
      </c>
      <c r="G59" s="1" t="s">
        <v>232</v>
      </c>
      <c r="H59" s="1" t="s">
        <v>51</v>
      </c>
      <c r="I59" s="1" t="s">
        <v>51</v>
      </c>
      <c r="J59" s="1"/>
    </row>
    <row r="60" spans="1:10" ht="15">
      <c r="A60" s="1" t="s">
        <v>16</v>
      </c>
      <c r="B60" s="1">
        <v>2025</v>
      </c>
      <c r="C60" s="1" t="s">
        <v>170</v>
      </c>
      <c r="D60" s="1" t="s">
        <v>167</v>
      </c>
      <c r="E60" s="1" t="s">
        <v>171</v>
      </c>
      <c r="F60" s="1" t="s">
        <v>127</v>
      </c>
      <c r="G60" s="1" t="s">
        <v>233</v>
      </c>
      <c r="H60" s="1" t="s">
        <v>51</v>
      </c>
      <c r="I60" s="1" t="s">
        <v>51</v>
      </c>
      <c r="J60" s="1"/>
    </row>
    <row r="61" spans="1:10" ht="30">
      <c r="A61" s="1" t="s">
        <v>16</v>
      </c>
      <c r="B61" s="1">
        <v>2025</v>
      </c>
      <c r="C61" s="1" t="s">
        <v>173</v>
      </c>
      <c r="D61" s="1" t="s">
        <v>174</v>
      </c>
      <c r="E61" s="1" t="s">
        <v>175</v>
      </c>
      <c r="F61" s="1" t="s">
        <v>127</v>
      </c>
      <c r="G61" s="1" t="s">
        <v>234</v>
      </c>
      <c r="H61" s="1" t="s">
        <v>51</v>
      </c>
      <c r="I61" s="1" t="s">
        <v>51</v>
      </c>
      <c r="J61" s="1" t="s">
        <v>177</v>
      </c>
    </row>
    <row r="62" spans="1:10" ht="15">
      <c r="A62" s="1" t="s">
        <v>19</v>
      </c>
      <c r="B62" s="1">
        <v>2022</v>
      </c>
      <c r="C62" s="1" t="s">
        <v>166</v>
      </c>
      <c r="D62" s="1" t="s">
        <v>167</v>
      </c>
      <c r="E62" s="1" t="s">
        <v>168</v>
      </c>
      <c r="F62" s="1" t="s">
        <v>128</v>
      </c>
      <c r="G62" s="1" t="s">
        <v>235</v>
      </c>
      <c r="H62" s="1" t="s">
        <v>51</v>
      </c>
      <c r="I62" s="1" t="s">
        <v>51</v>
      </c>
      <c r="J62" s="1"/>
    </row>
    <row r="63" spans="1:10" ht="15">
      <c r="A63" s="1" t="s">
        <v>19</v>
      </c>
      <c r="B63" s="1">
        <v>2022</v>
      </c>
      <c r="C63" s="1" t="s">
        <v>170</v>
      </c>
      <c r="D63" s="1" t="s">
        <v>167</v>
      </c>
      <c r="E63" s="1" t="s">
        <v>171</v>
      </c>
      <c r="F63" s="1" t="s">
        <v>129</v>
      </c>
      <c r="G63" s="1" t="s">
        <v>236</v>
      </c>
      <c r="H63" s="1" t="s">
        <v>51</v>
      </c>
      <c r="I63" s="1" t="s">
        <v>51</v>
      </c>
      <c r="J63" s="1"/>
    </row>
    <row r="64" spans="1:10" ht="30">
      <c r="A64" s="1" t="s">
        <v>19</v>
      </c>
      <c r="B64" s="1">
        <v>2022</v>
      </c>
      <c r="C64" s="1" t="s">
        <v>173</v>
      </c>
      <c r="D64" s="1" t="s">
        <v>174</v>
      </c>
      <c r="E64" s="1" t="s">
        <v>175</v>
      </c>
      <c r="F64" s="1" t="s">
        <v>129</v>
      </c>
      <c r="G64" s="1" t="s">
        <v>237</v>
      </c>
      <c r="H64" s="1" t="s">
        <v>51</v>
      </c>
      <c r="I64" s="1" t="s">
        <v>51</v>
      </c>
      <c r="J64" s="1" t="s">
        <v>177</v>
      </c>
    </row>
    <row r="65" spans="1:10" ht="15">
      <c r="A65" s="1" t="s">
        <v>19</v>
      </c>
      <c r="B65" s="1">
        <v>2023</v>
      </c>
      <c r="C65" s="1" t="s">
        <v>166</v>
      </c>
      <c r="D65" s="1" t="s">
        <v>167</v>
      </c>
      <c r="E65" s="1" t="s">
        <v>168</v>
      </c>
      <c r="F65" s="1" t="s">
        <v>128</v>
      </c>
      <c r="G65" s="1" t="s">
        <v>238</v>
      </c>
      <c r="H65" s="1" t="s">
        <v>51</v>
      </c>
      <c r="I65" s="1" t="s">
        <v>51</v>
      </c>
      <c r="J65" s="1"/>
    </row>
    <row r="66" spans="1:10" ht="15">
      <c r="A66" s="1" t="s">
        <v>19</v>
      </c>
      <c r="B66" s="1">
        <v>2023</v>
      </c>
      <c r="C66" s="1" t="s">
        <v>170</v>
      </c>
      <c r="D66" s="1" t="s">
        <v>167</v>
      </c>
      <c r="E66" s="1" t="s">
        <v>171</v>
      </c>
      <c r="F66" s="1" t="s">
        <v>129</v>
      </c>
      <c r="G66" s="1" t="s">
        <v>239</v>
      </c>
      <c r="H66" s="1" t="s">
        <v>51</v>
      </c>
      <c r="I66" s="1" t="s">
        <v>51</v>
      </c>
      <c r="J66" s="1"/>
    </row>
    <row r="67" spans="1:10" ht="30">
      <c r="A67" s="1" t="s">
        <v>19</v>
      </c>
      <c r="B67" s="1">
        <v>2023</v>
      </c>
      <c r="C67" s="1" t="s">
        <v>173</v>
      </c>
      <c r="D67" s="1" t="s">
        <v>174</v>
      </c>
      <c r="E67" s="1" t="s">
        <v>175</v>
      </c>
      <c r="F67" s="1" t="s">
        <v>129</v>
      </c>
      <c r="G67" s="1" t="s">
        <v>240</v>
      </c>
      <c r="H67" s="1" t="s">
        <v>51</v>
      </c>
      <c r="I67" s="1" t="s">
        <v>51</v>
      </c>
      <c r="J67" s="1" t="s">
        <v>177</v>
      </c>
    </row>
    <row r="68" spans="1:10" ht="15">
      <c r="A68" s="1" t="s">
        <v>19</v>
      </c>
      <c r="B68" s="1">
        <v>2024</v>
      </c>
      <c r="C68" s="1" t="s">
        <v>166</v>
      </c>
      <c r="D68" s="1" t="s">
        <v>167</v>
      </c>
      <c r="E68" s="1" t="s">
        <v>168</v>
      </c>
      <c r="F68" s="1" t="s">
        <v>128</v>
      </c>
      <c r="G68" s="1" t="s">
        <v>241</v>
      </c>
      <c r="H68" s="1" t="s">
        <v>51</v>
      </c>
      <c r="I68" s="1" t="s">
        <v>51</v>
      </c>
      <c r="J68" s="1"/>
    </row>
    <row r="69" spans="1:10" ht="15">
      <c r="A69" s="1" t="s">
        <v>19</v>
      </c>
      <c r="B69" s="1">
        <v>2024</v>
      </c>
      <c r="C69" s="1" t="s">
        <v>170</v>
      </c>
      <c r="D69" s="1" t="s">
        <v>167</v>
      </c>
      <c r="E69" s="1" t="s">
        <v>171</v>
      </c>
      <c r="F69" s="1" t="s">
        <v>129</v>
      </c>
      <c r="G69" s="1" t="s">
        <v>242</v>
      </c>
      <c r="H69" s="1" t="s">
        <v>51</v>
      </c>
      <c r="I69" s="1" t="s">
        <v>51</v>
      </c>
      <c r="J69" s="1"/>
    </row>
    <row r="70" spans="1:10" ht="30">
      <c r="A70" s="1" t="s">
        <v>19</v>
      </c>
      <c r="B70" s="1">
        <v>2024</v>
      </c>
      <c r="C70" s="1" t="s">
        <v>173</v>
      </c>
      <c r="D70" s="1" t="s">
        <v>174</v>
      </c>
      <c r="E70" s="1" t="s">
        <v>175</v>
      </c>
      <c r="F70" s="1" t="s">
        <v>129</v>
      </c>
      <c r="G70" s="1" t="s">
        <v>243</v>
      </c>
      <c r="H70" s="1" t="s">
        <v>51</v>
      </c>
      <c r="I70" s="1" t="s">
        <v>51</v>
      </c>
      <c r="J70" s="1" t="s">
        <v>177</v>
      </c>
    </row>
    <row r="71" spans="1:10" ht="15">
      <c r="A71" s="1" t="s">
        <v>19</v>
      </c>
      <c r="B71" s="1">
        <v>2025</v>
      </c>
      <c r="C71" s="1" t="s">
        <v>166</v>
      </c>
      <c r="D71" s="1" t="s">
        <v>167</v>
      </c>
      <c r="E71" s="1" t="s">
        <v>168</v>
      </c>
      <c r="F71" s="1" t="s">
        <v>128</v>
      </c>
      <c r="G71" s="1" t="s">
        <v>244</v>
      </c>
      <c r="H71" s="1" t="s">
        <v>51</v>
      </c>
      <c r="I71" s="1" t="s">
        <v>51</v>
      </c>
      <c r="J71" s="1"/>
    </row>
    <row r="72" spans="1:10" ht="15">
      <c r="A72" s="1" t="s">
        <v>19</v>
      </c>
      <c r="B72" s="1">
        <v>2025</v>
      </c>
      <c r="C72" s="1" t="s">
        <v>170</v>
      </c>
      <c r="D72" s="1" t="s">
        <v>167</v>
      </c>
      <c r="E72" s="1" t="s">
        <v>171</v>
      </c>
      <c r="F72" s="1" t="s">
        <v>129</v>
      </c>
      <c r="G72" s="1" t="s">
        <v>245</v>
      </c>
      <c r="H72" s="1" t="s">
        <v>51</v>
      </c>
      <c r="I72" s="1" t="s">
        <v>51</v>
      </c>
      <c r="J72" s="1"/>
    </row>
    <row r="73" spans="1:10" ht="30">
      <c r="A73" s="1" t="s">
        <v>19</v>
      </c>
      <c r="B73" s="1">
        <v>2025</v>
      </c>
      <c r="C73" s="1" t="s">
        <v>173</v>
      </c>
      <c r="D73" s="1" t="s">
        <v>174</v>
      </c>
      <c r="E73" s="1" t="s">
        <v>175</v>
      </c>
      <c r="F73" s="1" t="s">
        <v>129</v>
      </c>
      <c r="G73" s="1" t="s">
        <v>246</v>
      </c>
      <c r="H73" s="1" t="s">
        <v>51</v>
      </c>
      <c r="I73" s="1" t="s">
        <v>51</v>
      </c>
      <c r="J73" s="1" t="s">
        <v>177</v>
      </c>
    </row>
    <row r="74" spans="1:10" ht="15">
      <c r="A74" s="1" t="s">
        <v>22</v>
      </c>
      <c r="B74" s="1">
        <v>2022</v>
      </c>
      <c r="C74" s="1" t="s">
        <v>166</v>
      </c>
      <c r="D74" s="1" t="s">
        <v>167</v>
      </c>
      <c r="E74" s="1" t="s">
        <v>168</v>
      </c>
      <c r="F74" s="1" t="s">
        <v>130</v>
      </c>
      <c r="G74" s="1" t="s">
        <v>247</v>
      </c>
      <c r="H74" s="1" t="s">
        <v>51</v>
      </c>
      <c r="I74" s="1" t="s">
        <v>51</v>
      </c>
      <c r="J74" s="1"/>
    </row>
    <row r="75" spans="1:10" ht="15">
      <c r="A75" s="1" t="s">
        <v>22</v>
      </c>
      <c r="B75" s="1">
        <v>2022</v>
      </c>
      <c r="C75" s="1" t="s">
        <v>170</v>
      </c>
      <c r="D75" s="1" t="s">
        <v>167</v>
      </c>
      <c r="E75" s="1" t="s">
        <v>171</v>
      </c>
      <c r="F75" s="1" t="s">
        <v>131</v>
      </c>
      <c r="G75" s="1" t="s">
        <v>248</v>
      </c>
      <c r="H75" s="1" t="s">
        <v>51</v>
      </c>
      <c r="I75" s="1" t="s">
        <v>51</v>
      </c>
      <c r="J75" s="1"/>
    </row>
    <row r="76" spans="1:10" ht="30">
      <c r="A76" s="1" t="s">
        <v>22</v>
      </c>
      <c r="B76" s="1">
        <v>2022</v>
      </c>
      <c r="C76" s="1" t="s">
        <v>173</v>
      </c>
      <c r="D76" s="1" t="s">
        <v>174</v>
      </c>
      <c r="E76" s="1" t="s">
        <v>175</v>
      </c>
      <c r="F76" s="1" t="s">
        <v>131</v>
      </c>
      <c r="G76" s="1" t="s">
        <v>249</v>
      </c>
      <c r="H76" s="1" t="s">
        <v>51</v>
      </c>
      <c r="I76" s="1" t="s">
        <v>51</v>
      </c>
      <c r="J76" s="1" t="s">
        <v>177</v>
      </c>
    </row>
    <row r="77" spans="1:10" ht="15">
      <c r="A77" s="1" t="s">
        <v>22</v>
      </c>
      <c r="B77" s="1">
        <v>2023</v>
      </c>
      <c r="C77" s="1" t="s">
        <v>166</v>
      </c>
      <c r="D77" s="1" t="s">
        <v>167</v>
      </c>
      <c r="E77" s="1" t="s">
        <v>168</v>
      </c>
      <c r="F77" s="1" t="s">
        <v>130</v>
      </c>
      <c r="G77" s="1" t="s">
        <v>250</v>
      </c>
      <c r="H77" s="1" t="s">
        <v>51</v>
      </c>
      <c r="I77" s="1" t="s">
        <v>51</v>
      </c>
      <c r="J77" s="1"/>
    </row>
    <row r="78" spans="1:10" ht="15">
      <c r="A78" s="1" t="s">
        <v>22</v>
      </c>
      <c r="B78" s="1">
        <v>2023</v>
      </c>
      <c r="C78" s="1" t="s">
        <v>170</v>
      </c>
      <c r="D78" s="1" t="s">
        <v>167</v>
      </c>
      <c r="E78" s="1" t="s">
        <v>171</v>
      </c>
      <c r="F78" s="1" t="s">
        <v>131</v>
      </c>
      <c r="G78" s="1" t="s">
        <v>251</v>
      </c>
      <c r="H78" s="1" t="s">
        <v>51</v>
      </c>
      <c r="I78" s="1" t="s">
        <v>51</v>
      </c>
      <c r="J78" s="1"/>
    </row>
    <row r="79" spans="1:10" ht="30">
      <c r="A79" s="1" t="s">
        <v>22</v>
      </c>
      <c r="B79" s="1">
        <v>2023</v>
      </c>
      <c r="C79" s="1" t="s">
        <v>173</v>
      </c>
      <c r="D79" s="1" t="s">
        <v>174</v>
      </c>
      <c r="E79" s="1" t="s">
        <v>175</v>
      </c>
      <c r="F79" s="1" t="s">
        <v>131</v>
      </c>
      <c r="G79" s="1" t="s">
        <v>252</v>
      </c>
      <c r="H79" s="1" t="s">
        <v>51</v>
      </c>
      <c r="I79" s="1" t="s">
        <v>51</v>
      </c>
      <c r="J79" s="1" t="s">
        <v>177</v>
      </c>
    </row>
    <row r="80" spans="1:10" ht="15">
      <c r="A80" s="1" t="s">
        <v>22</v>
      </c>
      <c r="B80" s="1">
        <v>2024</v>
      </c>
      <c r="C80" s="1" t="s">
        <v>166</v>
      </c>
      <c r="D80" s="1" t="s">
        <v>167</v>
      </c>
      <c r="E80" s="1" t="s">
        <v>168</v>
      </c>
      <c r="F80" s="1" t="s">
        <v>130</v>
      </c>
      <c r="G80" s="1" t="s">
        <v>253</v>
      </c>
      <c r="H80" s="1" t="s">
        <v>51</v>
      </c>
      <c r="I80" s="1" t="s">
        <v>51</v>
      </c>
      <c r="J80" s="1"/>
    </row>
    <row r="81" spans="1:10" ht="15">
      <c r="A81" s="1" t="s">
        <v>22</v>
      </c>
      <c r="B81" s="1">
        <v>2024</v>
      </c>
      <c r="C81" s="1" t="s">
        <v>170</v>
      </c>
      <c r="D81" s="1" t="s">
        <v>167</v>
      </c>
      <c r="E81" s="1" t="s">
        <v>171</v>
      </c>
      <c r="F81" s="1" t="s">
        <v>131</v>
      </c>
      <c r="G81" s="1" t="s">
        <v>254</v>
      </c>
      <c r="H81" s="1" t="s">
        <v>51</v>
      </c>
      <c r="I81" s="1" t="s">
        <v>51</v>
      </c>
      <c r="J81" s="1"/>
    </row>
    <row r="82" spans="1:10" ht="30">
      <c r="A82" s="1" t="s">
        <v>22</v>
      </c>
      <c r="B82" s="1">
        <v>2024</v>
      </c>
      <c r="C82" s="1" t="s">
        <v>173</v>
      </c>
      <c r="D82" s="1" t="s">
        <v>174</v>
      </c>
      <c r="E82" s="1" t="s">
        <v>175</v>
      </c>
      <c r="F82" s="1" t="s">
        <v>131</v>
      </c>
      <c r="G82" s="1" t="s">
        <v>255</v>
      </c>
      <c r="H82" s="1" t="s">
        <v>51</v>
      </c>
      <c r="I82" s="1" t="s">
        <v>51</v>
      </c>
      <c r="J82" s="1" t="s">
        <v>177</v>
      </c>
    </row>
    <row r="83" spans="1:10" ht="15">
      <c r="A83" s="1" t="s">
        <v>22</v>
      </c>
      <c r="B83" s="1">
        <v>2025</v>
      </c>
      <c r="C83" s="1" t="s">
        <v>166</v>
      </c>
      <c r="D83" s="1" t="s">
        <v>167</v>
      </c>
      <c r="E83" s="1" t="s">
        <v>168</v>
      </c>
      <c r="F83" s="1" t="s">
        <v>130</v>
      </c>
      <c r="G83" s="1" t="s">
        <v>256</v>
      </c>
      <c r="H83" s="1" t="s">
        <v>51</v>
      </c>
      <c r="I83" s="1" t="s">
        <v>51</v>
      </c>
      <c r="J83" s="1"/>
    </row>
    <row r="84" spans="1:10" ht="15">
      <c r="A84" s="1" t="s">
        <v>22</v>
      </c>
      <c r="B84" s="1">
        <v>2025</v>
      </c>
      <c r="C84" s="1" t="s">
        <v>170</v>
      </c>
      <c r="D84" s="1" t="s">
        <v>167</v>
      </c>
      <c r="E84" s="1" t="s">
        <v>171</v>
      </c>
      <c r="F84" s="1" t="s">
        <v>131</v>
      </c>
      <c r="G84" s="1" t="s">
        <v>257</v>
      </c>
      <c r="H84" s="1" t="s">
        <v>51</v>
      </c>
      <c r="I84" s="1" t="s">
        <v>51</v>
      </c>
      <c r="J84" s="1"/>
    </row>
    <row r="85" spans="1:10" ht="30">
      <c r="A85" s="1" t="s">
        <v>22</v>
      </c>
      <c r="B85" s="1">
        <v>2025</v>
      </c>
      <c r="C85" s="1" t="s">
        <v>173</v>
      </c>
      <c r="D85" s="1" t="s">
        <v>174</v>
      </c>
      <c r="E85" s="1" t="s">
        <v>175</v>
      </c>
      <c r="F85" s="1" t="s">
        <v>131</v>
      </c>
      <c r="G85" s="1" t="s">
        <v>258</v>
      </c>
      <c r="H85" s="1" t="s">
        <v>51</v>
      </c>
      <c r="I85" s="1" t="s">
        <v>51</v>
      </c>
      <c r="J85" s="1" t="s">
        <v>177</v>
      </c>
    </row>
    <row r="86" spans="1:10" ht="30">
      <c r="A86" s="1" t="s">
        <v>25</v>
      </c>
      <c r="B86" s="1">
        <v>2022</v>
      </c>
      <c r="C86" s="1" t="s">
        <v>166</v>
      </c>
      <c r="D86" s="1" t="s">
        <v>167</v>
      </c>
      <c r="E86" s="1" t="s">
        <v>168</v>
      </c>
      <c r="F86" s="1" t="s">
        <v>132</v>
      </c>
      <c r="G86" s="1" t="s">
        <v>259</v>
      </c>
      <c r="H86" s="1" t="s">
        <v>51</v>
      </c>
      <c r="I86" s="1" t="s">
        <v>51</v>
      </c>
      <c r="J86" s="1"/>
    </row>
    <row r="87" spans="1:10" ht="15">
      <c r="A87" s="1" t="s">
        <v>25</v>
      </c>
      <c r="B87" s="1">
        <v>2022</v>
      </c>
      <c r="C87" s="1" t="s">
        <v>170</v>
      </c>
      <c r="D87" s="1" t="s">
        <v>167</v>
      </c>
      <c r="E87" s="1" t="s">
        <v>171</v>
      </c>
      <c r="F87" s="1" t="s">
        <v>133</v>
      </c>
      <c r="G87" s="1" t="s">
        <v>260</v>
      </c>
      <c r="H87" s="1" t="s">
        <v>51</v>
      </c>
      <c r="I87" s="1" t="s">
        <v>51</v>
      </c>
      <c r="J87" s="1"/>
    </row>
    <row r="88" spans="1:10" ht="30">
      <c r="A88" s="1" t="s">
        <v>25</v>
      </c>
      <c r="B88" s="1">
        <v>2022</v>
      </c>
      <c r="C88" s="1" t="s">
        <v>173</v>
      </c>
      <c r="D88" s="1" t="s">
        <v>174</v>
      </c>
      <c r="E88" s="1" t="s">
        <v>175</v>
      </c>
      <c r="F88" s="1" t="s">
        <v>133</v>
      </c>
      <c r="G88" s="1" t="s">
        <v>261</v>
      </c>
      <c r="H88" s="1" t="s">
        <v>51</v>
      </c>
      <c r="I88" s="1" t="s">
        <v>51</v>
      </c>
      <c r="J88" s="1" t="s">
        <v>177</v>
      </c>
    </row>
    <row r="89" spans="1:10" ht="30">
      <c r="A89" s="1" t="s">
        <v>25</v>
      </c>
      <c r="B89" s="1">
        <v>2023</v>
      </c>
      <c r="C89" s="1" t="s">
        <v>166</v>
      </c>
      <c r="D89" s="1" t="s">
        <v>167</v>
      </c>
      <c r="E89" s="1" t="s">
        <v>168</v>
      </c>
      <c r="F89" s="1" t="s">
        <v>132</v>
      </c>
      <c r="G89" s="1" t="s">
        <v>262</v>
      </c>
      <c r="H89" s="1" t="s">
        <v>51</v>
      </c>
      <c r="I89" s="1" t="s">
        <v>51</v>
      </c>
      <c r="J89" s="1"/>
    </row>
    <row r="90" spans="1:10" ht="15">
      <c r="A90" s="1" t="s">
        <v>25</v>
      </c>
      <c r="B90" s="1">
        <v>2023</v>
      </c>
      <c r="C90" s="1" t="s">
        <v>170</v>
      </c>
      <c r="D90" s="1" t="s">
        <v>167</v>
      </c>
      <c r="E90" s="1" t="s">
        <v>171</v>
      </c>
      <c r="F90" s="1" t="s">
        <v>133</v>
      </c>
      <c r="G90" s="1" t="s">
        <v>263</v>
      </c>
      <c r="H90" s="1" t="s">
        <v>51</v>
      </c>
      <c r="I90" s="1" t="s">
        <v>51</v>
      </c>
      <c r="J90" s="1"/>
    </row>
    <row r="91" spans="1:10" ht="30">
      <c r="A91" s="1" t="s">
        <v>25</v>
      </c>
      <c r="B91" s="1">
        <v>2023</v>
      </c>
      <c r="C91" s="1" t="s">
        <v>173</v>
      </c>
      <c r="D91" s="1" t="s">
        <v>174</v>
      </c>
      <c r="E91" s="1" t="s">
        <v>175</v>
      </c>
      <c r="F91" s="1" t="s">
        <v>133</v>
      </c>
      <c r="G91" s="1" t="s">
        <v>264</v>
      </c>
      <c r="H91" s="1" t="s">
        <v>51</v>
      </c>
      <c r="I91" s="1" t="s">
        <v>51</v>
      </c>
      <c r="J91" s="1" t="s">
        <v>177</v>
      </c>
    </row>
    <row r="92" spans="1:10" ht="30">
      <c r="A92" s="1" t="s">
        <v>25</v>
      </c>
      <c r="B92" s="1">
        <v>2024</v>
      </c>
      <c r="C92" s="1" t="s">
        <v>166</v>
      </c>
      <c r="D92" s="1" t="s">
        <v>167</v>
      </c>
      <c r="E92" s="1" t="s">
        <v>168</v>
      </c>
      <c r="F92" s="1" t="s">
        <v>132</v>
      </c>
      <c r="G92" s="1" t="s">
        <v>265</v>
      </c>
      <c r="H92" s="1" t="s">
        <v>51</v>
      </c>
      <c r="I92" s="1" t="s">
        <v>51</v>
      </c>
      <c r="J92" s="1"/>
    </row>
    <row r="93" spans="1:10" ht="15">
      <c r="A93" s="1" t="s">
        <v>25</v>
      </c>
      <c r="B93" s="1">
        <v>2024</v>
      </c>
      <c r="C93" s="1" t="s">
        <v>170</v>
      </c>
      <c r="D93" s="1" t="s">
        <v>167</v>
      </c>
      <c r="E93" s="1" t="s">
        <v>171</v>
      </c>
      <c r="F93" s="1" t="s">
        <v>133</v>
      </c>
      <c r="G93" s="1" t="s">
        <v>266</v>
      </c>
      <c r="H93" s="1" t="s">
        <v>51</v>
      </c>
      <c r="I93" s="1" t="s">
        <v>51</v>
      </c>
      <c r="J93" s="1"/>
    </row>
    <row r="94" spans="1:10" ht="30">
      <c r="A94" s="1" t="s">
        <v>25</v>
      </c>
      <c r="B94" s="1">
        <v>2024</v>
      </c>
      <c r="C94" s="1" t="s">
        <v>173</v>
      </c>
      <c r="D94" s="1" t="s">
        <v>174</v>
      </c>
      <c r="E94" s="1" t="s">
        <v>175</v>
      </c>
      <c r="F94" s="1" t="s">
        <v>133</v>
      </c>
      <c r="G94" s="1" t="s">
        <v>267</v>
      </c>
      <c r="H94" s="1" t="s">
        <v>51</v>
      </c>
      <c r="I94" s="1" t="s">
        <v>51</v>
      </c>
      <c r="J94" s="1" t="s">
        <v>177</v>
      </c>
    </row>
    <row r="95" spans="1:10" ht="30">
      <c r="A95" s="1" t="s">
        <v>25</v>
      </c>
      <c r="B95" s="1">
        <v>2025</v>
      </c>
      <c r="C95" s="1" t="s">
        <v>166</v>
      </c>
      <c r="D95" s="1" t="s">
        <v>167</v>
      </c>
      <c r="E95" s="1" t="s">
        <v>168</v>
      </c>
      <c r="F95" s="1" t="s">
        <v>132</v>
      </c>
      <c r="G95" s="1" t="s">
        <v>268</v>
      </c>
      <c r="H95" s="1" t="s">
        <v>51</v>
      </c>
      <c r="I95" s="1" t="s">
        <v>51</v>
      </c>
      <c r="J95" s="1"/>
    </row>
    <row r="96" spans="1:10" ht="15">
      <c r="A96" s="1" t="s">
        <v>25</v>
      </c>
      <c r="B96" s="1">
        <v>2025</v>
      </c>
      <c r="C96" s="1" t="s">
        <v>170</v>
      </c>
      <c r="D96" s="1" t="s">
        <v>167</v>
      </c>
      <c r="E96" s="1" t="s">
        <v>171</v>
      </c>
      <c r="F96" s="1" t="s">
        <v>133</v>
      </c>
      <c r="G96" s="1" t="s">
        <v>269</v>
      </c>
      <c r="H96" s="1" t="s">
        <v>51</v>
      </c>
      <c r="I96" s="1" t="s">
        <v>51</v>
      </c>
      <c r="J96" s="1"/>
    </row>
    <row r="97" spans="1:10" ht="30">
      <c r="A97" s="1" t="s">
        <v>25</v>
      </c>
      <c r="B97" s="1">
        <v>2025</v>
      </c>
      <c r="C97" s="1" t="s">
        <v>173</v>
      </c>
      <c r="D97" s="1" t="s">
        <v>174</v>
      </c>
      <c r="E97" s="1" t="s">
        <v>175</v>
      </c>
      <c r="F97" s="1" t="s">
        <v>133</v>
      </c>
      <c r="G97" s="1" t="s">
        <v>270</v>
      </c>
      <c r="H97" s="1" t="s">
        <v>51</v>
      </c>
      <c r="I97" s="1" t="s">
        <v>51</v>
      </c>
      <c r="J97" s="1" t="s">
        <v>177</v>
      </c>
    </row>
    <row r="98" spans="1:10" ht="15">
      <c r="A98" s="1" t="s">
        <v>28</v>
      </c>
      <c r="B98" s="1">
        <v>2022</v>
      </c>
      <c r="C98" s="1" t="s">
        <v>166</v>
      </c>
      <c r="D98" s="1" t="s">
        <v>167</v>
      </c>
      <c r="E98" s="1" t="s">
        <v>168</v>
      </c>
      <c r="F98" s="1" t="s">
        <v>134</v>
      </c>
      <c r="G98" s="1" t="s">
        <v>271</v>
      </c>
      <c r="H98" s="1" t="s">
        <v>51</v>
      </c>
      <c r="I98" s="1" t="s">
        <v>51</v>
      </c>
      <c r="J98" s="1"/>
    </row>
    <row r="99" spans="1:10" ht="15">
      <c r="A99" s="1" t="s">
        <v>28</v>
      </c>
      <c r="B99" s="1">
        <v>2022</v>
      </c>
      <c r="C99" s="1" t="s">
        <v>170</v>
      </c>
      <c r="D99" s="1" t="s">
        <v>167</v>
      </c>
      <c r="E99" s="1" t="s">
        <v>171</v>
      </c>
      <c r="F99" s="1" t="s">
        <v>135</v>
      </c>
      <c r="G99" s="1" t="s">
        <v>272</v>
      </c>
      <c r="H99" s="1" t="s">
        <v>51</v>
      </c>
      <c r="I99" s="1" t="s">
        <v>51</v>
      </c>
      <c r="J99" s="1"/>
    </row>
    <row r="100" spans="1:10" ht="30">
      <c r="A100" s="1" t="s">
        <v>28</v>
      </c>
      <c r="B100" s="1">
        <v>2022</v>
      </c>
      <c r="C100" s="1" t="s">
        <v>173</v>
      </c>
      <c r="D100" s="1" t="s">
        <v>174</v>
      </c>
      <c r="E100" s="1" t="s">
        <v>175</v>
      </c>
      <c r="F100" s="1" t="s">
        <v>135</v>
      </c>
      <c r="G100" s="1" t="s">
        <v>273</v>
      </c>
      <c r="H100" s="1" t="s">
        <v>51</v>
      </c>
      <c r="I100" s="1" t="s">
        <v>51</v>
      </c>
      <c r="J100" s="1" t="s">
        <v>177</v>
      </c>
    </row>
    <row r="101" spans="1:10" ht="15">
      <c r="A101" s="1" t="s">
        <v>28</v>
      </c>
      <c r="B101" s="1">
        <v>2023</v>
      </c>
      <c r="C101" s="1" t="s">
        <v>166</v>
      </c>
      <c r="D101" s="1" t="s">
        <v>167</v>
      </c>
      <c r="E101" s="1" t="s">
        <v>168</v>
      </c>
      <c r="F101" s="1" t="s">
        <v>134</v>
      </c>
      <c r="G101" s="1" t="s">
        <v>274</v>
      </c>
      <c r="H101" s="1" t="s">
        <v>51</v>
      </c>
      <c r="I101" s="1" t="s">
        <v>51</v>
      </c>
      <c r="J101" s="1"/>
    </row>
    <row r="102" spans="1:10" ht="15">
      <c r="A102" s="1" t="s">
        <v>28</v>
      </c>
      <c r="B102" s="1">
        <v>2023</v>
      </c>
      <c r="C102" s="1" t="s">
        <v>170</v>
      </c>
      <c r="D102" s="1" t="s">
        <v>167</v>
      </c>
      <c r="E102" s="1" t="s">
        <v>171</v>
      </c>
      <c r="F102" s="1" t="s">
        <v>135</v>
      </c>
      <c r="G102" s="1" t="s">
        <v>275</v>
      </c>
      <c r="H102" s="1" t="s">
        <v>51</v>
      </c>
      <c r="I102" s="1" t="s">
        <v>51</v>
      </c>
      <c r="J102" s="1"/>
    </row>
    <row r="103" spans="1:10" ht="30">
      <c r="A103" s="1" t="s">
        <v>28</v>
      </c>
      <c r="B103" s="1">
        <v>2023</v>
      </c>
      <c r="C103" s="1" t="s">
        <v>173</v>
      </c>
      <c r="D103" s="1" t="s">
        <v>174</v>
      </c>
      <c r="E103" s="1" t="s">
        <v>175</v>
      </c>
      <c r="F103" s="1" t="s">
        <v>135</v>
      </c>
      <c r="G103" s="1" t="s">
        <v>276</v>
      </c>
      <c r="H103" s="1" t="s">
        <v>51</v>
      </c>
      <c r="I103" s="1" t="s">
        <v>51</v>
      </c>
      <c r="J103" s="1" t="s">
        <v>177</v>
      </c>
    </row>
    <row r="104" spans="1:10" ht="15">
      <c r="A104" s="1" t="s">
        <v>28</v>
      </c>
      <c r="B104" s="1">
        <v>2024</v>
      </c>
      <c r="C104" s="1" t="s">
        <v>166</v>
      </c>
      <c r="D104" s="1" t="s">
        <v>167</v>
      </c>
      <c r="E104" s="1" t="s">
        <v>168</v>
      </c>
      <c r="F104" s="1" t="s">
        <v>134</v>
      </c>
      <c r="G104" s="1" t="s">
        <v>277</v>
      </c>
      <c r="H104" s="1" t="s">
        <v>51</v>
      </c>
      <c r="I104" s="1" t="s">
        <v>51</v>
      </c>
      <c r="J104" s="1"/>
    </row>
    <row r="105" spans="1:10" ht="15">
      <c r="A105" s="1" t="s">
        <v>28</v>
      </c>
      <c r="B105" s="1">
        <v>2024</v>
      </c>
      <c r="C105" s="1" t="s">
        <v>170</v>
      </c>
      <c r="D105" s="1" t="s">
        <v>167</v>
      </c>
      <c r="E105" s="1" t="s">
        <v>171</v>
      </c>
      <c r="F105" s="1" t="s">
        <v>135</v>
      </c>
      <c r="G105" s="1" t="s">
        <v>278</v>
      </c>
      <c r="H105" s="1" t="s">
        <v>51</v>
      </c>
      <c r="I105" s="1" t="s">
        <v>51</v>
      </c>
      <c r="J105" s="1"/>
    </row>
    <row r="106" spans="1:10" ht="30">
      <c r="A106" s="1" t="s">
        <v>28</v>
      </c>
      <c r="B106" s="1">
        <v>2024</v>
      </c>
      <c r="C106" s="1" t="s">
        <v>173</v>
      </c>
      <c r="D106" s="1" t="s">
        <v>174</v>
      </c>
      <c r="E106" s="1" t="s">
        <v>175</v>
      </c>
      <c r="F106" s="1" t="s">
        <v>135</v>
      </c>
      <c r="G106" s="1" t="s">
        <v>279</v>
      </c>
      <c r="H106" s="1" t="s">
        <v>51</v>
      </c>
      <c r="I106" s="1" t="s">
        <v>51</v>
      </c>
      <c r="J106" s="1" t="s">
        <v>177</v>
      </c>
    </row>
    <row r="107" spans="1:10" ht="15">
      <c r="A107" s="1" t="s">
        <v>28</v>
      </c>
      <c r="B107" s="1">
        <v>2025</v>
      </c>
      <c r="C107" s="1" t="s">
        <v>166</v>
      </c>
      <c r="D107" s="1" t="s">
        <v>167</v>
      </c>
      <c r="E107" s="1" t="s">
        <v>168</v>
      </c>
      <c r="F107" s="1" t="s">
        <v>134</v>
      </c>
      <c r="G107" s="1" t="s">
        <v>280</v>
      </c>
      <c r="H107" s="1" t="s">
        <v>51</v>
      </c>
      <c r="I107" s="1" t="s">
        <v>51</v>
      </c>
      <c r="J107" s="1"/>
    </row>
    <row r="108" spans="1:10" ht="15">
      <c r="A108" s="1" t="s">
        <v>28</v>
      </c>
      <c r="B108" s="1">
        <v>2025</v>
      </c>
      <c r="C108" s="1" t="s">
        <v>170</v>
      </c>
      <c r="D108" s="1" t="s">
        <v>167</v>
      </c>
      <c r="E108" s="1" t="s">
        <v>171</v>
      </c>
      <c r="F108" s="1" t="s">
        <v>135</v>
      </c>
      <c r="G108" s="1" t="s">
        <v>281</v>
      </c>
      <c r="H108" s="1" t="s">
        <v>51</v>
      </c>
      <c r="I108" s="1" t="s">
        <v>51</v>
      </c>
      <c r="J108" s="1"/>
    </row>
    <row r="109" spans="1:10" ht="30">
      <c r="A109" s="1" t="s">
        <v>28</v>
      </c>
      <c r="B109" s="1">
        <v>2025</v>
      </c>
      <c r="C109" s="1" t="s">
        <v>173</v>
      </c>
      <c r="D109" s="1" t="s">
        <v>174</v>
      </c>
      <c r="E109" s="1" t="s">
        <v>175</v>
      </c>
      <c r="F109" s="1" t="s">
        <v>135</v>
      </c>
      <c r="G109" s="1" t="s">
        <v>282</v>
      </c>
      <c r="H109" s="1" t="s">
        <v>51</v>
      </c>
      <c r="I109" s="1" t="s">
        <v>51</v>
      </c>
      <c r="J109" s="1" t="s">
        <v>177</v>
      </c>
    </row>
    <row r="110" spans="1:10" ht="15">
      <c r="A110" s="1" t="s">
        <v>31</v>
      </c>
      <c r="B110" s="1">
        <v>2022</v>
      </c>
      <c r="C110" s="1" t="s">
        <v>166</v>
      </c>
      <c r="D110" s="1" t="s">
        <v>167</v>
      </c>
      <c r="E110" s="1" t="s">
        <v>168</v>
      </c>
      <c r="F110" s="1" t="s">
        <v>136</v>
      </c>
      <c r="G110" s="1" t="s">
        <v>283</v>
      </c>
      <c r="H110" s="1" t="s">
        <v>51</v>
      </c>
      <c r="I110" s="1" t="s">
        <v>51</v>
      </c>
      <c r="J110" s="1"/>
    </row>
    <row r="111" spans="1:10" ht="15">
      <c r="A111" s="1" t="s">
        <v>31</v>
      </c>
      <c r="B111" s="1">
        <v>2022</v>
      </c>
      <c r="C111" s="1" t="s">
        <v>170</v>
      </c>
      <c r="D111" s="1" t="s">
        <v>167</v>
      </c>
      <c r="E111" s="1" t="s">
        <v>171</v>
      </c>
      <c r="F111" s="1" t="s">
        <v>137</v>
      </c>
      <c r="G111" s="1" t="s">
        <v>284</v>
      </c>
      <c r="H111" s="1" t="s">
        <v>51</v>
      </c>
      <c r="I111" s="1" t="s">
        <v>51</v>
      </c>
      <c r="J111" s="1"/>
    </row>
    <row r="112" spans="1:10" ht="30">
      <c r="A112" s="1" t="s">
        <v>31</v>
      </c>
      <c r="B112" s="1">
        <v>2022</v>
      </c>
      <c r="C112" s="1" t="s">
        <v>173</v>
      </c>
      <c r="D112" s="1" t="s">
        <v>174</v>
      </c>
      <c r="E112" s="1" t="s">
        <v>175</v>
      </c>
      <c r="F112" s="1" t="s">
        <v>137</v>
      </c>
      <c r="G112" s="1" t="s">
        <v>285</v>
      </c>
      <c r="H112" s="1" t="s">
        <v>51</v>
      </c>
      <c r="I112" s="1" t="s">
        <v>51</v>
      </c>
      <c r="J112" s="1" t="s">
        <v>177</v>
      </c>
    </row>
    <row r="113" spans="1:10" ht="15">
      <c r="A113" s="1" t="s">
        <v>31</v>
      </c>
      <c r="B113" s="1">
        <v>2023</v>
      </c>
      <c r="C113" s="1" t="s">
        <v>166</v>
      </c>
      <c r="D113" s="1" t="s">
        <v>167</v>
      </c>
      <c r="E113" s="1" t="s">
        <v>168</v>
      </c>
      <c r="F113" s="1" t="s">
        <v>136</v>
      </c>
      <c r="G113" s="1" t="s">
        <v>286</v>
      </c>
      <c r="H113" s="1" t="s">
        <v>51</v>
      </c>
      <c r="I113" s="1" t="s">
        <v>51</v>
      </c>
      <c r="J113" s="1"/>
    </row>
    <row r="114" spans="1:10" ht="15">
      <c r="A114" s="1" t="s">
        <v>31</v>
      </c>
      <c r="B114" s="1">
        <v>2023</v>
      </c>
      <c r="C114" s="1" t="s">
        <v>170</v>
      </c>
      <c r="D114" s="1" t="s">
        <v>167</v>
      </c>
      <c r="E114" s="1" t="s">
        <v>171</v>
      </c>
      <c r="F114" s="1" t="s">
        <v>137</v>
      </c>
      <c r="G114" s="1" t="s">
        <v>287</v>
      </c>
      <c r="H114" s="1" t="s">
        <v>51</v>
      </c>
      <c r="I114" s="1" t="s">
        <v>51</v>
      </c>
      <c r="J114" s="1"/>
    </row>
    <row r="115" spans="1:10" ht="30">
      <c r="A115" s="1" t="s">
        <v>31</v>
      </c>
      <c r="B115" s="1">
        <v>2023</v>
      </c>
      <c r="C115" s="1" t="s">
        <v>173</v>
      </c>
      <c r="D115" s="1" t="s">
        <v>174</v>
      </c>
      <c r="E115" s="1" t="s">
        <v>175</v>
      </c>
      <c r="F115" s="1" t="s">
        <v>137</v>
      </c>
      <c r="G115" s="1" t="s">
        <v>288</v>
      </c>
      <c r="H115" s="1" t="s">
        <v>51</v>
      </c>
      <c r="I115" s="1" t="s">
        <v>51</v>
      </c>
      <c r="J115" s="1" t="s">
        <v>177</v>
      </c>
    </row>
    <row r="116" spans="1:10" ht="15">
      <c r="A116" s="1" t="s">
        <v>31</v>
      </c>
      <c r="B116" s="1">
        <v>2024</v>
      </c>
      <c r="C116" s="1" t="s">
        <v>166</v>
      </c>
      <c r="D116" s="1" t="s">
        <v>167</v>
      </c>
      <c r="E116" s="1" t="s">
        <v>168</v>
      </c>
      <c r="F116" s="1" t="s">
        <v>136</v>
      </c>
      <c r="G116" s="1" t="s">
        <v>289</v>
      </c>
      <c r="H116" s="1" t="s">
        <v>51</v>
      </c>
      <c r="I116" s="1" t="s">
        <v>51</v>
      </c>
      <c r="J116" s="1"/>
    </row>
    <row r="117" spans="1:10" ht="15">
      <c r="A117" s="1" t="s">
        <v>31</v>
      </c>
      <c r="B117" s="1">
        <v>2024</v>
      </c>
      <c r="C117" s="1" t="s">
        <v>170</v>
      </c>
      <c r="D117" s="1" t="s">
        <v>167</v>
      </c>
      <c r="E117" s="1" t="s">
        <v>171</v>
      </c>
      <c r="F117" s="1" t="s">
        <v>137</v>
      </c>
      <c r="G117" s="1" t="s">
        <v>290</v>
      </c>
      <c r="H117" s="1" t="s">
        <v>51</v>
      </c>
      <c r="I117" s="1" t="s">
        <v>51</v>
      </c>
      <c r="J117" s="1"/>
    </row>
    <row r="118" spans="1:10" ht="30">
      <c r="A118" s="1" t="s">
        <v>31</v>
      </c>
      <c r="B118" s="1">
        <v>2024</v>
      </c>
      <c r="C118" s="1" t="s">
        <v>173</v>
      </c>
      <c r="D118" s="1" t="s">
        <v>174</v>
      </c>
      <c r="E118" s="1" t="s">
        <v>175</v>
      </c>
      <c r="F118" s="1" t="s">
        <v>137</v>
      </c>
      <c r="G118" s="1" t="s">
        <v>291</v>
      </c>
      <c r="H118" s="1" t="s">
        <v>51</v>
      </c>
      <c r="I118" s="1" t="s">
        <v>51</v>
      </c>
      <c r="J118" s="1" t="s">
        <v>177</v>
      </c>
    </row>
    <row r="119" spans="1:10" ht="15">
      <c r="A119" s="1" t="s">
        <v>31</v>
      </c>
      <c r="B119" s="1">
        <v>2025</v>
      </c>
      <c r="C119" s="1" t="s">
        <v>166</v>
      </c>
      <c r="D119" s="1" t="s">
        <v>167</v>
      </c>
      <c r="E119" s="1" t="s">
        <v>168</v>
      </c>
      <c r="F119" s="1" t="s">
        <v>136</v>
      </c>
      <c r="G119" s="1" t="s">
        <v>292</v>
      </c>
      <c r="H119" s="1" t="s">
        <v>51</v>
      </c>
      <c r="I119" s="1" t="s">
        <v>51</v>
      </c>
      <c r="J119" s="1"/>
    </row>
    <row r="120" spans="1:10" ht="15">
      <c r="A120" s="1" t="s">
        <v>31</v>
      </c>
      <c r="B120" s="1">
        <v>2025</v>
      </c>
      <c r="C120" s="1" t="s">
        <v>170</v>
      </c>
      <c r="D120" s="1" t="s">
        <v>167</v>
      </c>
      <c r="E120" s="1" t="s">
        <v>171</v>
      </c>
      <c r="F120" s="1" t="s">
        <v>137</v>
      </c>
      <c r="G120" s="1" t="s">
        <v>293</v>
      </c>
      <c r="H120" s="1" t="s">
        <v>51</v>
      </c>
      <c r="I120" s="1" t="s">
        <v>51</v>
      </c>
      <c r="J120" s="1"/>
    </row>
    <row r="121" spans="1:10" ht="30">
      <c r="A121" s="1" t="s">
        <v>31</v>
      </c>
      <c r="B121" s="1">
        <v>2025</v>
      </c>
      <c r="C121" s="1" t="s">
        <v>173</v>
      </c>
      <c r="D121" s="1" t="s">
        <v>174</v>
      </c>
      <c r="E121" s="1" t="s">
        <v>175</v>
      </c>
      <c r="F121" s="1" t="s">
        <v>137</v>
      </c>
      <c r="G121" s="1" t="s">
        <v>294</v>
      </c>
      <c r="H121" s="1" t="s">
        <v>51</v>
      </c>
      <c r="I121" s="1" t="s">
        <v>51</v>
      </c>
      <c r="J121" s="1" t="s">
        <v>177</v>
      </c>
    </row>
    <row r="122" spans="1:10" ht="15">
      <c r="A122" s="1" t="s">
        <v>34</v>
      </c>
      <c r="B122" s="1">
        <v>2022</v>
      </c>
      <c r="C122" s="1" t="s">
        <v>166</v>
      </c>
      <c r="D122" s="1" t="s">
        <v>167</v>
      </c>
      <c r="E122" s="1" t="s">
        <v>168</v>
      </c>
      <c r="F122" s="1" t="s">
        <v>138</v>
      </c>
      <c r="G122" s="1" t="s">
        <v>295</v>
      </c>
      <c r="H122" s="1" t="s">
        <v>51</v>
      </c>
      <c r="I122" s="1" t="s">
        <v>51</v>
      </c>
      <c r="J122" s="1"/>
    </row>
    <row r="123" spans="1:10" ht="15">
      <c r="A123" s="1" t="s">
        <v>34</v>
      </c>
      <c r="B123" s="1">
        <v>2022</v>
      </c>
      <c r="C123" s="1" t="s">
        <v>170</v>
      </c>
      <c r="D123" s="1" t="s">
        <v>167</v>
      </c>
      <c r="E123" s="1" t="s">
        <v>171</v>
      </c>
      <c r="F123" s="1" t="s">
        <v>139</v>
      </c>
      <c r="G123" s="1" t="s">
        <v>296</v>
      </c>
      <c r="H123" s="1" t="s">
        <v>51</v>
      </c>
      <c r="I123" s="1" t="s">
        <v>51</v>
      </c>
      <c r="J123" s="1"/>
    </row>
    <row r="124" spans="1:10" ht="30">
      <c r="A124" s="1" t="s">
        <v>34</v>
      </c>
      <c r="B124" s="1">
        <v>2022</v>
      </c>
      <c r="C124" s="1" t="s">
        <v>173</v>
      </c>
      <c r="D124" s="1" t="s">
        <v>174</v>
      </c>
      <c r="E124" s="1" t="s">
        <v>175</v>
      </c>
      <c r="F124" s="1" t="s">
        <v>139</v>
      </c>
      <c r="G124" s="1" t="s">
        <v>297</v>
      </c>
      <c r="H124" s="1" t="s">
        <v>51</v>
      </c>
      <c r="I124" s="1" t="s">
        <v>51</v>
      </c>
      <c r="J124" s="1" t="s">
        <v>177</v>
      </c>
    </row>
    <row r="125" spans="1:10" ht="15">
      <c r="A125" s="1" t="s">
        <v>34</v>
      </c>
      <c r="B125" s="1">
        <v>2023</v>
      </c>
      <c r="C125" s="1" t="s">
        <v>166</v>
      </c>
      <c r="D125" s="1" t="s">
        <v>167</v>
      </c>
      <c r="E125" s="1" t="s">
        <v>168</v>
      </c>
      <c r="F125" s="1" t="s">
        <v>138</v>
      </c>
      <c r="G125" s="1" t="s">
        <v>298</v>
      </c>
      <c r="H125" s="1" t="s">
        <v>51</v>
      </c>
      <c r="I125" s="1" t="s">
        <v>51</v>
      </c>
      <c r="J125" s="1"/>
    </row>
    <row r="126" spans="1:10" ht="15">
      <c r="A126" s="1" t="s">
        <v>34</v>
      </c>
      <c r="B126" s="1">
        <v>2023</v>
      </c>
      <c r="C126" s="1" t="s">
        <v>170</v>
      </c>
      <c r="D126" s="1" t="s">
        <v>167</v>
      </c>
      <c r="E126" s="1" t="s">
        <v>171</v>
      </c>
      <c r="F126" s="1" t="s">
        <v>139</v>
      </c>
      <c r="G126" s="1" t="s">
        <v>299</v>
      </c>
      <c r="H126" s="1" t="s">
        <v>51</v>
      </c>
      <c r="I126" s="1" t="s">
        <v>51</v>
      </c>
      <c r="J126" s="1"/>
    </row>
    <row r="127" spans="1:10" ht="30">
      <c r="A127" s="1" t="s">
        <v>34</v>
      </c>
      <c r="B127" s="1">
        <v>2023</v>
      </c>
      <c r="C127" s="1" t="s">
        <v>173</v>
      </c>
      <c r="D127" s="1" t="s">
        <v>174</v>
      </c>
      <c r="E127" s="1" t="s">
        <v>175</v>
      </c>
      <c r="F127" s="1" t="s">
        <v>139</v>
      </c>
      <c r="G127" s="1" t="s">
        <v>300</v>
      </c>
      <c r="H127" s="1" t="s">
        <v>51</v>
      </c>
      <c r="I127" s="1" t="s">
        <v>51</v>
      </c>
      <c r="J127" s="1" t="s">
        <v>177</v>
      </c>
    </row>
    <row r="128" spans="1:10" ht="15">
      <c r="A128" s="1" t="s">
        <v>34</v>
      </c>
      <c r="B128" s="1">
        <v>2024</v>
      </c>
      <c r="C128" s="1" t="s">
        <v>166</v>
      </c>
      <c r="D128" s="1" t="s">
        <v>167</v>
      </c>
      <c r="E128" s="1" t="s">
        <v>168</v>
      </c>
      <c r="F128" s="1" t="s">
        <v>138</v>
      </c>
      <c r="G128" s="1" t="s">
        <v>301</v>
      </c>
      <c r="H128" s="1" t="s">
        <v>51</v>
      </c>
      <c r="I128" s="1" t="s">
        <v>51</v>
      </c>
      <c r="J128" s="1"/>
    </row>
    <row r="129" spans="1:10" ht="15">
      <c r="A129" s="1" t="s">
        <v>34</v>
      </c>
      <c r="B129" s="1">
        <v>2024</v>
      </c>
      <c r="C129" s="1" t="s">
        <v>170</v>
      </c>
      <c r="D129" s="1" t="s">
        <v>167</v>
      </c>
      <c r="E129" s="1" t="s">
        <v>171</v>
      </c>
      <c r="F129" s="1" t="s">
        <v>139</v>
      </c>
      <c r="G129" s="1" t="s">
        <v>302</v>
      </c>
      <c r="H129" s="1" t="s">
        <v>51</v>
      </c>
      <c r="I129" s="1" t="s">
        <v>51</v>
      </c>
      <c r="J129" s="1"/>
    </row>
    <row r="130" spans="1:10" ht="30">
      <c r="A130" s="1" t="s">
        <v>34</v>
      </c>
      <c r="B130" s="1">
        <v>2024</v>
      </c>
      <c r="C130" s="1" t="s">
        <v>173</v>
      </c>
      <c r="D130" s="1" t="s">
        <v>174</v>
      </c>
      <c r="E130" s="1" t="s">
        <v>175</v>
      </c>
      <c r="F130" s="1" t="s">
        <v>139</v>
      </c>
      <c r="G130" s="1" t="s">
        <v>303</v>
      </c>
      <c r="H130" s="1" t="s">
        <v>51</v>
      </c>
      <c r="I130" s="1" t="s">
        <v>51</v>
      </c>
      <c r="J130" s="1" t="s">
        <v>177</v>
      </c>
    </row>
    <row r="131" spans="1:10" ht="15">
      <c r="A131" s="1" t="s">
        <v>34</v>
      </c>
      <c r="B131" s="1">
        <v>2025</v>
      </c>
      <c r="C131" s="1" t="s">
        <v>166</v>
      </c>
      <c r="D131" s="1" t="s">
        <v>167</v>
      </c>
      <c r="E131" s="1" t="s">
        <v>168</v>
      </c>
      <c r="F131" s="1" t="s">
        <v>138</v>
      </c>
      <c r="G131" s="1" t="s">
        <v>304</v>
      </c>
      <c r="H131" s="1" t="s">
        <v>51</v>
      </c>
      <c r="I131" s="1" t="s">
        <v>51</v>
      </c>
      <c r="J131" s="1"/>
    </row>
    <row r="132" spans="1:10" ht="15">
      <c r="A132" s="1" t="s">
        <v>34</v>
      </c>
      <c r="B132" s="1">
        <v>2025</v>
      </c>
      <c r="C132" s="1" t="s">
        <v>170</v>
      </c>
      <c r="D132" s="1" t="s">
        <v>167</v>
      </c>
      <c r="E132" s="1" t="s">
        <v>171</v>
      </c>
      <c r="F132" s="1" t="s">
        <v>139</v>
      </c>
      <c r="G132" s="1" t="s">
        <v>305</v>
      </c>
      <c r="H132" s="1" t="s">
        <v>51</v>
      </c>
      <c r="I132" s="1" t="s">
        <v>51</v>
      </c>
      <c r="J132" s="1"/>
    </row>
    <row r="133" spans="1:10" ht="30">
      <c r="A133" s="1" t="s">
        <v>34</v>
      </c>
      <c r="B133" s="1">
        <v>2025</v>
      </c>
      <c r="C133" s="1" t="s">
        <v>173</v>
      </c>
      <c r="D133" s="1" t="s">
        <v>174</v>
      </c>
      <c r="E133" s="1" t="s">
        <v>175</v>
      </c>
      <c r="F133" s="1" t="s">
        <v>139</v>
      </c>
      <c r="G133" s="1" t="s">
        <v>306</v>
      </c>
      <c r="H133" s="1" t="s">
        <v>51</v>
      </c>
      <c r="I133" s="1" t="s">
        <v>51</v>
      </c>
      <c r="J133" s="1" t="s">
        <v>177</v>
      </c>
    </row>
    <row r="134" spans="1:10" ht="15">
      <c r="A134" s="1" t="s">
        <v>36</v>
      </c>
      <c r="B134" s="1">
        <v>2022</v>
      </c>
      <c r="C134" s="1" t="s">
        <v>166</v>
      </c>
      <c r="D134" s="1" t="s">
        <v>167</v>
      </c>
      <c r="E134" s="1" t="s">
        <v>168</v>
      </c>
      <c r="F134" s="1" t="s">
        <v>140</v>
      </c>
      <c r="G134" s="1" t="s">
        <v>307</v>
      </c>
      <c r="H134" s="1" t="s">
        <v>51</v>
      </c>
      <c r="I134" s="1" t="s">
        <v>51</v>
      </c>
      <c r="J134" s="1"/>
    </row>
    <row r="135" spans="1:10" ht="15">
      <c r="A135" s="1" t="s">
        <v>36</v>
      </c>
      <c r="B135" s="1">
        <v>2022</v>
      </c>
      <c r="C135" s="1" t="s">
        <v>170</v>
      </c>
      <c r="D135" s="1" t="s">
        <v>167</v>
      </c>
      <c r="E135" s="1" t="s">
        <v>171</v>
      </c>
      <c r="F135" s="1" t="s">
        <v>141</v>
      </c>
      <c r="G135" s="1" t="s">
        <v>308</v>
      </c>
      <c r="H135" s="1" t="s">
        <v>51</v>
      </c>
      <c r="I135" s="1" t="s">
        <v>51</v>
      </c>
      <c r="J135" s="1"/>
    </row>
    <row r="136" spans="1:10" ht="30">
      <c r="A136" s="1" t="s">
        <v>36</v>
      </c>
      <c r="B136" s="1">
        <v>2022</v>
      </c>
      <c r="C136" s="1" t="s">
        <v>173</v>
      </c>
      <c r="D136" s="1" t="s">
        <v>174</v>
      </c>
      <c r="E136" s="1" t="s">
        <v>175</v>
      </c>
      <c r="F136" s="1" t="s">
        <v>141</v>
      </c>
      <c r="G136" s="1" t="s">
        <v>309</v>
      </c>
      <c r="H136" s="1" t="s">
        <v>51</v>
      </c>
      <c r="I136" s="1" t="s">
        <v>51</v>
      </c>
      <c r="J136" s="1" t="s">
        <v>177</v>
      </c>
    </row>
    <row r="137" spans="1:10" ht="15">
      <c r="A137" s="1" t="s">
        <v>36</v>
      </c>
      <c r="B137" s="1">
        <v>2023</v>
      </c>
      <c r="C137" s="1" t="s">
        <v>166</v>
      </c>
      <c r="D137" s="1" t="s">
        <v>167</v>
      </c>
      <c r="E137" s="1" t="s">
        <v>168</v>
      </c>
      <c r="F137" s="1" t="s">
        <v>140</v>
      </c>
      <c r="G137" s="1" t="s">
        <v>310</v>
      </c>
      <c r="H137" s="1" t="s">
        <v>51</v>
      </c>
      <c r="I137" s="1" t="s">
        <v>51</v>
      </c>
      <c r="J137" s="1"/>
    </row>
    <row r="138" spans="1:10" ht="15">
      <c r="A138" s="1" t="s">
        <v>36</v>
      </c>
      <c r="B138" s="1">
        <v>2023</v>
      </c>
      <c r="C138" s="1" t="s">
        <v>170</v>
      </c>
      <c r="D138" s="1" t="s">
        <v>167</v>
      </c>
      <c r="E138" s="1" t="s">
        <v>171</v>
      </c>
      <c r="F138" s="1" t="s">
        <v>141</v>
      </c>
      <c r="G138" s="1" t="s">
        <v>311</v>
      </c>
      <c r="H138" s="1" t="s">
        <v>51</v>
      </c>
      <c r="I138" s="1" t="s">
        <v>51</v>
      </c>
      <c r="J138" s="1"/>
    </row>
    <row r="139" spans="1:10" ht="30">
      <c r="A139" s="1" t="s">
        <v>36</v>
      </c>
      <c r="B139" s="1">
        <v>2023</v>
      </c>
      <c r="C139" s="1" t="s">
        <v>173</v>
      </c>
      <c r="D139" s="1" t="s">
        <v>174</v>
      </c>
      <c r="E139" s="1" t="s">
        <v>175</v>
      </c>
      <c r="F139" s="1" t="s">
        <v>141</v>
      </c>
      <c r="G139" s="1" t="s">
        <v>312</v>
      </c>
      <c r="H139" s="1" t="s">
        <v>51</v>
      </c>
      <c r="I139" s="1" t="s">
        <v>51</v>
      </c>
      <c r="J139" s="1" t="s">
        <v>177</v>
      </c>
    </row>
    <row r="140" spans="1:10" ht="15">
      <c r="A140" s="1" t="s">
        <v>36</v>
      </c>
      <c r="B140" s="1">
        <v>2024</v>
      </c>
      <c r="C140" s="1" t="s">
        <v>166</v>
      </c>
      <c r="D140" s="1" t="s">
        <v>167</v>
      </c>
      <c r="E140" s="1" t="s">
        <v>168</v>
      </c>
      <c r="F140" s="1" t="s">
        <v>140</v>
      </c>
      <c r="G140" s="1" t="s">
        <v>313</v>
      </c>
      <c r="H140" s="1" t="s">
        <v>51</v>
      </c>
      <c r="I140" s="1" t="s">
        <v>51</v>
      </c>
      <c r="J140" s="1"/>
    </row>
    <row r="141" spans="1:10" ht="15">
      <c r="A141" s="1" t="s">
        <v>36</v>
      </c>
      <c r="B141" s="1">
        <v>2024</v>
      </c>
      <c r="C141" s="1" t="s">
        <v>170</v>
      </c>
      <c r="D141" s="1" t="s">
        <v>167</v>
      </c>
      <c r="E141" s="1" t="s">
        <v>171</v>
      </c>
      <c r="F141" s="1" t="s">
        <v>141</v>
      </c>
      <c r="G141" s="1" t="s">
        <v>314</v>
      </c>
      <c r="H141" s="1" t="s">
        <v>51</v>
      </c>
      <c r="I141" s="1" t="s">
        <v>51</v>
      </c>
      <c r="J141" s="1"/>
    </row>
    <row r="142" spans="1:10" ht="30">
      <c r="A142" s="1" t="s">
        <v>36</v>
      </c>
      <c r="B142" s="1">
        <v>2024</v>
      </c>
      <c r="C142" s="1" t="s">
        <v>173</v>
      </c>
      <c r="D142" s="1" t="s">
        <v>174</v>
      </c>
      <c r="E142" s="1" t="s">
        <v>175</v>
      </c>
      <c r="F142" s="1" t="s">
        <v>141</v>
      </c>
      <c r="G142" s="1" t="s">
        <v>315</v>
      </c>
      <c r="H142" s="1" t="s">
        <v>51</v>
      </c>
      <c r="I142" s="1" t="s">
        <v>51</v>
      </c>
      <c r="J142" s="1" t="s">
        <v>177</v>
      </c>
    </row>
    <row r="143" spans="1:10" ht="15">
      <c r="A143" s="1" t="s">
        <v>36</v>
      </c>
      <c r="B143" s="1">
        <v>2025</v>
      </c>
      <c r="C143" s="1" t="s">
        <v>166</v>
      </c>
      <c r="D143" s="1" t="s">
        <v>167</v>
      </c>
      <c r="E143" s="1" t="s">
        <v>168</v>
      </c>
      <c r="F143" s="1" t="s">
        <v>140</v>
      </c>
      <c r="G143" s="1" t="s">
        <v>316</v>
      </c>
      <c r="H143" s="1" t="s">
        <v>51</v>
      </c>
      <c r="I143" s="1" t="s">
        <v>51</v>
      </c>
      <c r="J143" s="1"/>
    </row>
    <row r="144" spans="1:10" ht="15">
      <c r="A144" s="1" t="s">
        <v>36</v>
      </c>
      <c r="B144" s="1">
        <v>2025</v>
      </c>
      <c r="C144" s="1" t="s">
        <v>170</v>
      </c>
      <c r="D144" s="1" t="s">
        <v>167</v>
      </c>
      <c r="E144" s="1" t="s">
        <v>171</v>
      </c>
      <c r="F144" s="1" t="s">
        <v>141</v>
      </c>
      <c r="G144" s="1" t="s">
        <v>317</v>
      </c>
      <c r="H144" s="1" t="s">
        <v>51</v>
      </c>
      <c r="I144" s="1" t="s">
        <v>51</v>
      </c>
      <c r="J144" s="1"/>
    </row>
    <row r="145" spans="1:10" ht="30">
      <c r="A145" s="1" t="s">
        <v>36</v>
      </c>
      <c r="B145" s="1">
        <v>2025</v>
      </c>
      <c r="C145" s="1" t="s">
        <v>173</v>
      </c>
      <c r="D145" s="1" t="s">
        <v>174</v>
      </c>
      <c r="E145" s="1" t="s">
        <v>175</v>
      </c>
      <c r="F145" s="1" t="s">
        <v>141</v>
      </c>
      <c r="G145" s="1" t="s">
        <v>318</v>
      </c>
      <c r="H145" s="1" t="s">
        <v>51</v>
      </c>
      <c r="I145" s="1" t="s">
        <v>51</v>
      </c>
      <c r="J145" s="1" t="s">
        <v>177</v>
      </c>
    </row>
    <row r="146" spans="1:10" ht="15">
      <c r="A146" s="1" t="s">
        <v>39</v>
      </c>
      <c r="B146" s="1">
        <v>2022</v>
      </c>
      <c r="C146" s="1" t="s">
        <v>166</v>
      </c>
      <c r="D146" s="1" t="s">
        <v>167</v>
      </c>
      <c r="E146" s="1" t="s">
        <v>168</v>
      </c>
      <c r="F146" s="1" t="s">
        <v>142</v>
      </c>
      <c r="G146" s="1" t="s">
        <v>319</v>
      </c>
      <c r="H146" s="1" t="s">
        <v>51</v>
      </c>
      <c r="I146" s="1" t="s">
        <v>51</v>
      </c>
      <c r="J146" s="1"/>
    </row>
    <row r="147" spans="1:10" ht="15">
      <c r="A147" s="1" t="s">
        <v>39</v>
      </c>
      <c r="B147" s="1">
        <v>2022</v>
      </c>
      <c r="C147" s="1" t="s">
        <v>170</v>
      </c>
      <c r="D147" s="1" t="s">
        <v>167</v>
      </c>
      <c r="E147" s="1" t="s">
        <v>171</v>
      </c>
      <c r="F147" s="1" t="s">
        <v>143</v>
      </c>
      <c r="G147" s="1" t="s">
        <v>320</v>
      </c>
      <c r="H147" s="1" t="s">
        <v>51</v>
      </c>
      <c r="I147" s="1" t="s">
        <v>51</v>
      </c>
      <c r="J147" s="1"/>
    </row>
    <row r="148" spans="1:10" ht="30">
      <c r="A148" s="1" t="s">
        <v>39</v>
      </c>
      <c r="B148" s="1">
        <v>2022</v>
      </c>
      <c r="C148" s="1" t="s">
        <v>173</v>
      </c>
      <c r="D148" s="1" t="s">
        <v>174</v>
      </c>
      <c r="E148" s="1" t="s">
        <v>175</v>
      </c>
      <c r="F148" s="1" t="s">
        <v>143</v>
      </c>
      <c r="G148" s="1" t="s">
        <v>321</v>
      </c>
      <c r="H148" s="1" t="s">
        <v>51</v>
      </c>
      <c r="I148" s="1" t="s">
        <v>51</v>
      </c>
      <c r="J148" s="1" t="s">
        <v>177</v>
      </c>
    </row>
    <row r="149" spans="1:10" ht="15">
      <c r="A149" s="1" t="s">
        <v>39</v>
      </c>
      <c r="B149" s="1">
        <v>2023</v>
      </c>
      <c r="C149" s="1" t="s">
        <v>166</v>
      </c>
      <c r="D149" s="1" t="s">
        <v>167</v>
      </c>
      <c r="E149" s="1" t="s">
        <v>168</v>
      </c>
      <c r="F149" s="1" t="s">
        <v>142</v>
      </c>
      <c r="G149" s="1" t="s">
        <v>322</v>
      </c>
      <c r="H149" s="1" t="s">
        <v>51</v>
      </c>
      <c r="I149" s="1" t="s">
        <v>51</v>
      </c>
      <c r="J149" s="1"/>
    </row>
    <row r="150" spans="1:10" ht="15">
      <c r="A150" s="1" t="s">
        <v>39</v>
      </c>
      <c r="B150" s="1">
        <v>2023</v>
      </c>
      <c r="C150" s="1" t="s">
        <v>170</v>
      </c>
      <c r="D150" s="1" t="s">
        <v>167</v>
      </c>
      <c r="E150" s="1" t="s">
        <v>171</v>
      </c>
      <c r="F150" s="1" t="s">
        <v>143</v>
      </c>
      <c r="G150" s="1" t="s">
        <v>323</v>
      </c>
      <c r="H150" s="1" t="s">
        <v>51</v>
      </c>
      <c r="I150" s="1" t="s">
        <v>51</v>
      </c>
      <c r="J150" s="1"/>
    </row>
    <row r="151" spans="1:10" ht="30">
      <c r="A151" s="1" t="s">
        <v>39</v>
      </c>
      <c r="B151" s="1">
        <v>2023</v>
      </c>
      <c r="C151" s="1" t="s">
        <v>173</v>
      </c>
      <c r="D151" s="1" t="s">
        <v>174</v>
      </c>
      <c r="E151" s="1" t="s">
        <v>175</v>
      </c>
      <c r="F151" s="1" t="s">
        <v>143</v>
      </c>
      <c r="G151" s="1" t="s">
        <v>324</v>
      </c>
      <c r="H151" s="1" t="s">
        <v>51</v>
      </c>
      <c r="I151" s="1" t="s">
        <v>51</v>
      </c>
      <c r="J151" s="1" t="s">
        <v>177</v>
      </c>
    </row>
    <row r="152" spans="1:10" ht="15">
      <c r="A152" s="1" t="s">
        <v>39</v>
      </c>
      <c r="B152" s="1">
        <v>2024</v>
      </c>
      <c r="C152" s="1" t="s">
        <v>166</v>
      </c>
      <c r="D152" s="1" t="s">
        <v>167</v>
      </c>
      <c r="E152" s="1" t="s">
        <v>168</v>
      </c>
      <c r="F152" s="1" t="s">
        <v>142</v>
      </c>
      <c r="G152" s="1" t="s">
        <v>325</v>
      </c>
      <c r="H152" s="1" t="s">
        <v>51</v>
      </c>
      <c r="I152" s="1" t="s">
        <v>51</v>
      </c>
      <c r="J152" s="1"/>
    </row>
    <row r="153" spans="1:10" ht="15">
      <c r="A153" s="1" t="s">
        <v>39</v>
      </c>
      <c r="B153" s="1">
        <v>2024</v>
      </c>
      <c r="C153" s="1" t="s">
        <v>170</v>
      </c>
      <c r="D153" s="1" t="s">
        <v>167</v>
      </c>
      <c r="E153" s="1" t="s">
        <v>171</v>
      </c>
      <c r="F153" s="1" t="s">
        <v>143</v>
      </c>
      <c r="G153" s="1" t="s">
        <v>326</v>
      </c>
      <c r="H153" s="1" t="s">
        <v>51</v>
      </c>
      <c r="I153" s="1" t="s">
        <v>51</v>
      </c>
      <c r="J153" s="1"/>
    </row>
    <row r="154" spans="1:10" ht="30">
      <c r="A154" s="1" t="s">
        <v>39</v>
      </c>
      <c r="B154" s="1">
        <v>2024</v>
      </c>
      <c r="C154" s="1" t="s">
        <v>173</v>
      </c>
      <c r="D154" s="1" t="s">
        <v>174</v>
      </c>
      <c r="E154" s="1" t="s">
        <v>175</v>
      </c>
      <c r="F154" s="1" t="s">
        <v>143</v>
      </c>
      <c r="G154" s="1" t="s">
        <v>327</v>
      </c>
      <c r="H154" s="1" t="s">
        <v>51</v>
      </c>
      <c r="I154" s="1" t="s">
        <v>51</v>
      </c>
      <c r="J154" s="1" t="s">
        <v>177</v>
      </c>
    </row>
    <row r="155" spans="1:10" ht="15">
      <c r="A155" s="1" t="s">
        <v>39</v>
      </c>
      <c r="B155" s="1">
        <v>2025</v>
      </c>
      <c r="C155" s="1" t="s">
        <v>166</v>
      </c>
      <c r="D155" s="1" t="s">
        <v>167</v>
      </c>
      <c r="E155" s="1" t="s">
        <v>168</v>
      </c>
      <c r="F155" s="1" t="s">
        <v>142</v>
      </c>
      <c r="G155" s="1" t="s">
        <v>328</v>
      </c>
      <c r="H155" s="1" t="s">
        <v>51</v>
      </c>
      <c r="I155" s="1" t="s">
        <v>51</v>
      </c>
      <c r="J155" s="1"/>
    </row>
    <row r="156" spans="1:10" ht="15">
      <c r="A156" s="1" t="s">
        <v>39</v>
      </c>
      <c r="B156" s="1">
        <v>2025</v>
      </c>
      <c r="C156" s="1" t="s">
        <v>170</v>
      </c>
      <c r="D156" s="1" t="s">
        <v>167</v>
      </c>
      <c r="E156" s="1" t="s">
        <v>171</v>
      </c>
      <c r="F156" s="1" t="s">
        <v>143</v>
      </c>
      <c r="G156" s="1" t="s">
        <v>329</v>
      </c>
      <c r="H156" s="1" t="s">
        <v>51</v>
      </c>
      <c r="I156" s="1" t="s">
        <v>51</v>
      </c>
      <c r="J156" s="1"/>
    </row>
    <row r="157" spans="1:10" ht="30">
      <c r="A157" s="1" t="s">
        <v>39</v>
      </c>
      <c r="B157" s="1">
        <v>2025</v>
      </c>
      <c r="C157" s="1" t="s">
        <v>173</v>
      </c>
      <c r="D157" s="1" t="s">
        <v>174</v>
      </c>
      <c r="E157" s="1" t="s">
        <v>175</v>
      </c>
      <c r="F157" s="1" t="s">
        <v>143</v>
      </c>
      <c r="G157" s="1" t="s">
        <v>330</v>
      </c>
      <c r="H157" s="1" t="s">
        <v>51</v>
      </c>
      <c r="I157" s="1" t="s">
        <v>51</v>
      </c>
      <c r="J157" s="1" t="s">
        <v>177</v>
      </c>
    </row>
    <row r="158" spans="1:10" ht="15">
      <c r="A158" s="1" t="s">
        <v>41</v>
      </c>
      <c r="B158" s="1">
        <v>2022</v>
      </c>
      <c r="C158" s="1" t="s">
        <v>166</v>
      </c>
      <c r="D158" s="1" t="s">
        <v>167</v>
      </c>
      <c r="E158" s="1" t="s">
        <v>168</v>
      </c>
      <c r="F158" s="1" t="s">
        <v>144</v>
      </c>
      <c r="G158" s="1" t="s">
        <v>331</v>
      </c>
      <c r="H158" s="1" t="s">
        <v>51</v>
      </c>
      <c r="I158" s="1" t="s">
        <v>51</v>
      </c>
      <c r="J158" s="1"/>
    </row>
    <row r="159" spans="1:10" ht="15">
      <c r="A159" s="1" t="s">
        <v>41</v>
      </c>
      <c r="B159" s="1">
        <v>2022</v>
      </c>
      <c r="C159" s="1" t="s">
        <v>170</v>
      </c>
      <c r="D159" s="1" t="s">
        <v>167</v>
      </c>
      <c r="E159" s="1" t="s">
        <v>171</v>
      </c>
      <c r="F159" s="1" t="s">
        <v>145</v>
      </c>
      <c r="G159" s="1" t="s">
        <v>332</v>
      </c>
      <c r="H159" s="1" t="s">
        <v>51</v>
      </c>
      <c r="I159" s="1" t="s">
        <v>51</v>
      </c>
      <c r="J159" s="1"/>
    </row>
    <row r="160" spans="1:10" ht="30">
      <c r="A160" s="1" t="s">
        <v>41</v>
      </c>
      <c r="B160" s="1">
        <v>2022</v>
      </c>
      <c r="C160" s="1" t="s">
        <v>173</v>
      </c>
      <c r="D160" s="1" t="s">
        <v>174</v>
      </c>
      <c r="E160" s="1" t="s">
        <v>175</v>
      </c>
      <c r="F160" s="1" t="s">
        <v>145</v>
      </c>
      <c r="G160" s="1" t="s">
        <v>333</v>
      </c>
      <c r="H160" s="1" t="s">
        <v>51</v>
      </c>
      <c r="I160" s="1" t="s">
        <v>51</v>
      </c>
      <c r="J160" s="1" t="s">
        <v>177</v>
      </c>
    </row>
    <row r="161" spans="1:10" ht="15">
      <c r="A161" s="1" t="s">
        <v>41</v>
      </c>
      <c r="B161" s="1">
        <v>2023</v>
      </c>
      <c r="C161" s="1" t="s">
        <v>166</v>
      </c>
      <c r="D161" s="1" t="s">
        <v>167</v>
      </c>
      <c r="E161" s="1" t="s">
        <v>168</v>
      </c>
      <c r="F161" s="1" t="s">
        <v>144</v>
      </c>
      <c r="G161" s="1" t="s">
        <v>334</v>
      </c>
      <c r="H161" s="1" t="s">
        <v>51</v>
      </c>
      <c r="I161" s="1" t="s">
        <v>51</v>
      </c>
      <c r="J161" s="1"/>
    </row>
    <row r="162" spans="1:10" ht="15">
      <c r="A162" s="1" t="s">
        <v>41</v>
      </c>
      <c r="B162" s="1">
        <v>2023</v>
      </c>
      <c r="C162" s="1" t="s">
        <v>170</v>
      </c>
      <c r="D162" s="1" t="s">
        <v>167</v>
      </c>
      <c r="E162" s="1" t="s">
        <v>171</v>
      </c>
      <c r="F162" s="1" t="s">
        <v>145</v>
      </c>
      <c r="G162" s="1" t="s">
        <v>335</v>
      </c>
      <c r="H162" s="1" t="s">
        <v>51</v>
      </c>
      <c r="I162" s="1" t="s">
        <v>51</v>
      </c>
      <c r="J162" s="1"/>
    </row>
    <row r="163" spans="1:10" ht="30">
      <c r="A163" s="1" t="s">
        <v>41</v>
      </c>
      <c r="B163" s="1">
        <v>2023</v>
      </c>
      <c r="C163" s="1" t="s">
        <v>173</v>
      </c>
      <c r="D163" s="1" t="s">
        <v>174</v>
      </c>
      <c r="E163" s="1" t="s">
        <v>175</v>
      </c>
      <c r="F163" s="1" t="s">
        <v>145</v>
      </c>
      <c r="G163" s="1" t="s">
        <v>336</v>
      </c>
      <c r="H163" s="1" t="s">
        <v>51</v>
      </c>
      <c r="I163" s="1" t="s">
        <v>51</v>
      </c>
      <c r="J163" s="1" t="s">
        <v>177</v>
      </c>
    </row>
    <row r="164" spans="1:10" ht="15">
      <c r="A164" s="1" t="s">
        <v>41</v>
      </c>
      <c r="B164" s="1">
        <v>2024</v>
      </c>
      <c r="C164" s="1" t="s">
        <v>166</v>
      </c>
      <c r="D164" s="1" t="s">
        <v>167</v>
      </c>
      <c r="E164" s="1" t="s">
        <v>168</v>
      </c>
      <c r="F164" s="1" t="s">
        <v>144</v>
      </c>
      <c r="G164" s="1" t="s">
        <v>337</v>
      </c>
      <c r="H164" s="1" t="s">
        <v>51</v>
      </c>
      <c r="I164" s="1" t="s">
        <v>51</v>
      </c>
      <c r="J164" s="1"/>
    </row>
    <row r="165" spans="1:10" ht="15">
      <c r="A165" s="1" t="s">
        <v>41</v>
      </c>
      <c r="B165" s="1">
        <v>2024</v>
      </c>
      <c r="C165" s="1" t="s">
        <v>170</v>
      </c>
      <c r="D165" s="1" t="s">
        <v>167</v>
      </c>
      <c r="E165" s="1" t="s">
        <v>171</v>
      </c>
      <c r="F165" s="1" t="s">
        <v>145</v>
      </c>
      <c r="G165" s="1" t="s">
        <v>338</v>
      </c>
      <c r="H165" s="1" t="s">
        <v>51</v>
      </c>
      <c r="I165" s="1" t="s">
        <v>51</v>
      </c>
      <c r="J165" s="1"/>
    </row>
    <row r="166" spans="1:10" ht="30">
      <c r="A166" s="1" t="s">
        <v>41</v>
      </c>
      <c r="B166" s="1">
        <v>2024</v>
      </c>
      <c r="C166" s="1" t="s">
        <v>173</v>
      </c>
      <c r="D166" s="1" t="s">
        <v>174</v>
      </c>
      <c r="E166" s="1" t="s">
        <v>175</v>
      </c>
      <c r="F166" s="1" t="s">
        <v>145</v>
      </c>
      <c r="G166" s="1" t="s">
        <v>339</v>
      </c>
      <c r="H166" s="1" t="s">
        <v>51</v>
      </c>
      <c r="I166" s="1" t="s">
        <v>51</v>
      </c>
      <c r="J166" s="1" t="s">
        <v>177</v>
      </c>
    </row>
    <row r="167" spans="1:10" ht="15">
      <c r="A167" s="1" t="s">
        <v>41</v>
      </c>
      <c r="B167" s="1">
        <v>2025</v>
      </c>
      <c r="C167" s="1" t="s">
        <v>166</v>
      </c>
      <c r="D167" s="1" t="s">
        <v>167</v>
      </c>
      <c r="E167" s="1" t="s">
        <v>168</v>
      </c>
      <c r="F167" s="1" t="s">
        <v>144</v>
      </c>
      <c r="G167" s="1" t="s">
        <v>340</v>
      </c>
      <c r="H167" s="1" t="s">
        <v>51</v>
      </c>
      <c r="I167" s="1" t="s">
        <v>51</v>
      </c>
      <c r="J167" s="1"/>
    </row>
    <row r="168" spans="1:10" ht="15">
      <c r="A168" s="1" t="s">
        <v>41</v>
      </c>
      <c r="B168" s="1">
        <v>2025</v>
      </c>
      <c r="C168" s="1" t="s">
        <v>170</v>
      </c>
      <c r="D168" s="1" t="s">
        <v>167</v>
      </c>
      <c r="E168" s="1" t="s">
        <v>171</v>
      </c>
      <c r="F168" s="1" t="s">
        <v>145</v>
      </c>
      <c r="G168" s="1" t="s">
        <v>341</v>
      </c>
      <c r="H168" s="1" t="s">
        <v>51</v>
      </c>
      <c r="I168" s="1" t="s">
        <v>51</v>
      </c>
      <c r="J168" s="1"/>
    </row>
    <row r="169" spans="1:10" ht="30">
      <c r="A169" s="1" t="s">
        <v>41</v>
      </c>
      <c r="B169" s="1">
        <v>2025</v>
      </c>
      <c r="C169" s="1" t="s">
        <v>173</v>
      </c>
      <c r="D169" s="1" t="s">
        <v>174</v>
      </c>
      <c r="E169" s="1" t="s">
        <v>175</v>
      </c>
      <c r="F169" s="1" t="s">
        <v>145</v>
      </c>
      <c r="G169" s="1" t="s">
        <v>342</v>
      </c>
      <c r="H169" s="1" t="s">
        <v>51</v>
      </c>
      <c r="I169" s="1" t="s">
        <v>51</v>
      </c>
      <c r="J169" s="1" t="s">
        <v>177</v>
      </c>
    </row>
    <row r="170" spans="1:10" ht="15">
      <c r="A170" s="1" t="s">
        <v>44</v>
      </c>
      <c r="B170" s="1">
        <v>2022</v>
      </c>
      <c r="C170" s="1" t="s">
        <v>166</v>
      </c>
      <c r="D170" s="1" t="s">
        <v>167</v>
      </c>
      <c r="E170" s="1" t="s">
        <v>168</v>
      </c>
      <c r="F170" s="1" t="s">
        <v>146</v>
      </c>
      <c r="G170" s="1" t="s">
        <v>343</v>
      </c>
      <c r="H170" s="1" t="s">
        <v>51</v>
      </c>
      <c r="I170" s="1" t="s">
        <v>51</v>
      </c>
      <c r="J170" s="1"/>
    </row>
    <row r="171" spans="1:10" ht="15">
      <c r="A171" s="1" t="s">
        <v>44</v>
      </c>
      <c r="B171" s="1">
        <v>2022</v>
      </c>
      <c r="C171" s="1" t="s">
        <v>170</v>
      </c>
      <c r="D171" s="1" t="s">
        <v>167</v>
      </c>
      <c r="E171" s="1" t="s">
        <v>171</v>
      </c>
      <c r="F171" s="1" t="s">
        <v>147</v>
      </c>
      <c r="G171" s="1" t="s">
        <v>344</v>
      </c>
      <c r="H171" s="1" t="s">
        <v>51</v>
      </c>
      <c r="I171" s="1" t="s">
        <v>51</v>
      </c>
      <c r="J171" s="1"/>
    </row>
    <row r="172" spans="1:10" ht="30">
      <c r="A172" s="1" t="s">
        <v>44</v>
      </c>
      <c r="B172" s="1">
        <v>2022</v>
      </c>
      <c r="C172" s="1" t="s">
        <v>173</v>
      </c>
      <c r="D172" s="1" t="s">
        <v>174</v>
      </c>
      <c r="E172" s="1" t="s">
        <v>175</v>
      </c>
      <c r="F172" s="1" t="s">
        <v>147</v>
      </c>
      <c r="G172" s="1" t="s">
        <v>345</v>
      </c>
      <c r="H172" s="1" t="s">
        <v>51</v>
      </c>
      <c r="I172" s="1" t="s">
        <v>51</v>
      </c>
      <c r="J172" s="1" t="s">
        <v>177</v>
      </c>
    </row>
    <row r="173" spans="1:10" ht="15">
      <c r="A173" s="1" t="s">
        <v>44</v>
      </c>
      <c r="B173" s="1">
        <v>2023</v>
      </c>
      <c r="C173" s="1" t="s">
        <v>166</v>
      </c>
      <c r="D173" s="1" t="s">
        <v>167</v>
      </c>
      <c r="E173" s="1" t="s">
        <v>168</v>
      </c>
      <c r="F173" s="1" t="s">
        <v>146</v>
      </c>
      <c r="G173" s="1" t="s">
        <v>346</v>
      </c>
      <c r="H173" s="1" t="s">
        <v>51</v>
      </c>
      <c r="I173" s="1" t="s">
        <v>51</v>
      </c>
      <c r="J173" s="1"/>
    </row>
    <row r="174" spans="1:10" ht="15">
      <c r="A174" s="1" t="s">
        <v>44</v>
      </c>
      <c r="B174" s="1">
        <v>2023</v>
      </c>
      <c r="C174" s="1" t="s">
        <v>170</v>
      </c>
      <c r="D174" s="1" t="s">
        <v>167</v>
      </c>
      <c r="E174" s="1" t="s">
        <v>171</v>
      </c>
      <c r="F174" s="1" t="s">
        <v>147</v>
      </c>
      <c r="G174" s="1" t="s">
        <v>347</v>
      </c>
      <c r="H174" s="1" t="s">
        <v>51</v>
      </c>
      <c r="I174" s="1" t="s">
        <v>51</v>
      </c>
      <c r="J174" s="1"/>
    </row>
    <row r="175" spans="1:10" ht="30">
      <c r="A175" s="1" t="s">
        <v>44</v>
      </c>
      <c r="B175" s="1">
        <v>2023</v>
      </c>
      <c r="C175" s="1" t="s">
        <v>173</v>
      </c>
      <c r="D175" s="1" t="s">
        <v>174</v>
      </c>
      <c r="E175" s="1" t="s">
        <v>175</v>
      </c>
      <c r="F175" s="1" t="s">
        <v>147</v>
      </c>
      <c r="G175" s="1" t="s">
        <v>348</v>
      </c>
      <c r="H175" s="1" t="s">
        <v>51</v>
      </c>
      <c r="I175" s="1" t="s">
        <v>51</v>
      </c>
      <c r="J175" s="1" t="s">
        <v>177</v>
      </c>
    </row>
    <row r="176" spans="1:10" ht="15">
      <c r="A176" s="1" t="s">
        <v>44</v>
      </c>
      <c r="B176" s="1">
        <v>2024</v>
      </c>
      <c r="C176" s="1" t="s">
        <v>166</v>
      </c>
      <c r="D176" s="1" t="s">
        <v>167</v>
      </c>
      <c r="E176" s="1" t="s">
        <v>168</v>
      </c>
      <c r="F176" s="1" t="s">
        <v>146</v>
      </c>
      <c r="G176" s="1" t="s">
        <v>349</v>
      </c>
      <c r="H176" s="1" t="s">
        <v>51</v>
      </c>
      <c r="I176" s="1" t="s">
        <v>51</v>
      </c>
      <c r="J176" s="1"/>
    </row>
    <row r="177" spans="1:10" ht="15">
      <c r="A177" s="1" t="s">
        <v>44</v>
      </c>
      <c r="B177" s="1">
        <v>2024</v>
      </c>
      <c r="C177" s="1" t="s">
        <v>170</v>
      </c>
      <c r="D177" s="1" t="s">
        <v>167</v>
      </c>
      <c r="E177" s="1" t="s">
        <v>171</v>
      </c>
      <c r="F177" s="1" t="s">
        <v>147</v>
      </c>
      <c r="G177" s="1" t="s">
        <v>350</v>
      </c>
      <c r="H177" s="1" t="s">
        <v>51</v>
      </c>
      <c r="I177" s="1" t="s">
        <v>51</v>
      </c>
      <c r="J177" s="1"/>
    </row>
    <row r="178" spans="1:10" ht="30">
      <c r="A178" s="1" t="s">
        <v>44</v>
      </c>
      <c r="B178" s="1">
        <v>2024</v>
      </c>
      <c r="C178" s="1" t="s">
        <v>173</v>
      </c>
      <c r="D178" s="1" t="s">
        <v>174</v>
      </c>
      <c r="E178" s="1" t="s">
        <v>175</v>
      </c>
      <c r="F178" s="1" t="s">
        <v>147</v>
      </c>
      <c r="G178" s="1" t="s">
        <v>351</v>
      </c>
      <c r="H178" s="1" t="s">
        <v>51</v>
      </c>
      <c r="I178" s="1" t="s">
        <v>51</v>
      </c>
      <c r="J178" s="1" t="s">
        <v>177</v>
      </c>
    </row>
    <row r="179" spans="1:10" ht="15">
      <c r="A179" s="1" t="s">
        <v>44</v>
      </c>
      <c r="B179" s="1">
        <v>2025</v>
      </c>
      <c r="C179" s="1" t="s">
        <v>166</v>
      </c>
      <c r="D179" s="1" t="s">
        <v>167</v>
      </c>
      <c r="E179" s="1" t="s">
        <v>168</v>
      </c>
      <c r="F179" s="1" t="s">
        <v>146</v>
      </c>
      <c r="G179" s="1" t="s">
        <v>352</v>
      </c>
      <c r="H179" s="1" t="s">
        <v>51</v>
      </c>
      <c r="I179" s="1" t="s">
        <v>51</v>
      </c>
      <c r="J179" s="1"/>
    </row>
    <row r="180" spans="1:10" ht="15">
      <c r="A180" s="1" t="s">
        <v>44</v>
      </c>
      <c r="B180" s="1">
        <v>2025</v>
      </c>
      <c r="C180" s="1" t="s">
        <v>170</v>
      </c>
      <c r="D180" s="1" t="s">
        <v>167</v>
      </c>
      <c r="E180" s="1" t="s">
        <v>171</v>
      </c>
      <c r="F180" s="1" t="s">
        <v>147</v>
      </c>
      <c r="G180" s="1" t="s">
        <v>353</v>
      </c>
      <c r="H180" s="1" t="s">
        <v>51</v>
      </c>
      <c r="I180" s="1" t="s">
        <v>51</v>
      </c>
      <c r="J180" s="1"/>
    </row>
    <row r="181" spans="1:10" ht="30">
      <c r="A181" s="1" t="s">
        <v>44</v>
      </c>
      <c r="B181" s="1">
        <v>2025</v>
      </c>
      <c r="C181" s="1" t="s">
        <v>173</v>
      </c>
      <c r="D181" s="1" t="s">
        <v>174</v>
      </c>
      <c r="E181" s="1" t="s">
        <v>175</v>
      </c>
      <c r="F181" s="1" t="s">
        <v>147</v>
      </c>
      <c r="G181" s="1" t="s">
        <v>354</v>
      </c>
      <c r="H181" s="1" t="s">
        <v>51</v>
      </c>
      <c r="I181" s="1" t="s">
        <v>51</v>
      </c>
      <c r="J181" s="1" t="s">
        <v>177</v>
      </c>
    </row>
    <row r="182" spans="1:10" ht="15">
      <c r="A182" s="1" t="s">
        <v>47</v>
      </c>
      <c r="B182" s="1">
        <v>2022</v>
      </c>
      <c r="C182" s="1" t="s">
        <v>166</v>
      </c>
      <c r="D182" s="1" t="s">
        <v>167</v>
      </c>
      <c r="E182" s="1" t="s">
        <v>168</v>
      </c>
      <c r="F182" s="1" t="s">
        <v>148</v>
      </c>
      <c r="G182" s="1" t="s">
        <v>355</v>
      </c>
      <c r="H182" s="1" t="s">
        <v>51</v>
      </c>
      <c r="I182" s="1" t="s">
        <v>51</v>
      </c>
      <c r="J182" s="1"/>
    </row>
    <row r="183" spans="1:10" ht="30">
      <c r="A183" s="1" t="s">
        <v>47</v>
      </c>
      <c r="B183" s="1">
        <v>2022</v>
      </c>
      <c r="C183" s="1" t="s">
        <v>170</v>
      </c>
      <c r="D183" s="1" t="s">
        <v>167</v>
      </c>
      <c r="E183" s="1" t="s">
        <v>171</v>
      </c>
      <c r="F183" s="1" t="s">
        <v>149</v>
      </c>
      <c r="G183" s="1" t="s">
        <v>356</v>
      </c>
      <c r="H183" s="1" t="s">
        <v>51</v>
      </c>
      <c r="I183" s="1" t="s">
        <v>51</v>
      </c>
      <c r="J183" s="1"/>
    </row>
    <row r="184" spans="1:10" ht="30">
      <c r="A184" s="1" t="s">
        <v>47</v>
      </c>
      <c r="B184" s="1">
        <v>2022</v>
      </c>
      <c r="C184" s="1" t="s">
        <v>173</v>
      </c>
      <c r="D184" s="1" t="s">
        <v>174</v>
      </c>
      <c r="E184" s="1" t="s">
        <v>175</v>
      </c>
      <c r="F184" s="1" t="s">
        <v>149</v>
      </c>
      <c r="G184" s="1" t="s">
        <v>357</v>
      </c>
      <c r="H184" s="1" t="s">
        <v>51</v>
      </c>
      <c r="I184" s="1" t="s">
        <v>51</v>
      </c>
      <c r="J184" s="1" t="s">
        <v>177</v>
      </c>
    </row>
    <row r="185" spans="1:10" ht="15">
      <c r="A185" s="1" t="s">
        <v>47</v>
      </c>
      <c r="B185" s="1">
        <v>2023</v>
      </c>
      <c r="C185" s="1" t="s">
        <v>166</v>
      </c>
      <c r="D185" s="1" t="s">
        <v>167</v>
      </c>
      <c r="E185" s="1" t="s">
        <v>168</v>
      </c>
      <c r="F185" s="1" t="s">
        <v>148</v>
      </c>
      <c r="G185" s="1" t="s">
        <v>358</v>
      </c>
      <c r="H185" s="1" t="s">
        <v>51</v>
      </c>
      <c r="I185" s="1" t="s">
        <v>51</v>
      </c>
      <c r="J185" s="1"/>
    </row>
    <row r="186" spans="1:10" ht="30">
      <c r="A186" s="1" t="s">
        <v>47</v>
      </c>
      <c r="B186" s="1">
        <v>2023</v>
      </c>
      <c r="C186" s="1" t="s">
        <v>170</v>
      </c>
      <c r="D186" s="1" t="s">
        <v>167</v>
      </c>
      <c r="E186" s="1" t="s">
        <v>171</v>
      </c>
      <c r="F186" s="1" t="s">
        <v>149</v>
      </c>
      <c r="G186" s="1" t="s">
        <v>359</v>
      </c>
      <c r="H186" s="1" t="s">
        <v>51</v>
      </c>
      <c r="I186" s="1" t="s">
        <v>51</v>
      </c>
      <c r="J186" s="1"/>
    </row>
    <row r="187" spans="1:10" ht="30">
      <c r="A187" s="1" t="s">
        <v>47</v>
      </c>
      <c r="B187" s="1">
        <v>2023</v>
      </c>
      <c r="C187" s="1" t="s">
        <v>173</v>
      </c>
      <c r="D187" s="1" t="s">
        <v>174</v>
      </c>
      <c r="E187" s="1" t="s">
        <v>175</v>
      </c>
      <c r="F187" s="1" t="s">
        <v>149</v>
      </c>
      <c r="G187" s="1" t="s">
        <v>360</v>
      </c>
      <c r="H187" s="1" t="s">
        <v>51</v>
      </c>
      <c r="I187" s="1" t="s">
        <v>51</v>
      </c>
      <c r="J187" s="1" t="s">
        <v>177</v>
      </c>
    </row>
    <row r="188" spans="1:10" ht="15">
      <c r="A188" s="1" t="s">
        <v>47</v>
      </c>
      <c r="B188" s="1">
        <v>2024</v>
      </c>
      <c r="C188" s="1" t="s">
        <v>166</v>
      </c>
      <c r="D188" s="1" t="s">
        <v>167</v>
      </c>
      <c r="E188" s="1" t="s">
        <v>168</v>
      </c>
      <c r="F188" s="1" t="s">
        <v>148</v>
      </c>
      <c r="G188" s="1" t="s">
        <v>361</v>
      </c>
      <c r="H188" s="1" t="s">
        <v>51</v>
      </c>
      <c r="I188" s="1" t="s">
        <v>51</v>
      </c>
      <c r="J188" s="1"/>
    </row>
    <row r="189" spans="1:10" ht="30">
      <c r="A189" s="1" t="s">
        <v>47</v>
      </c>
      <c r="B189" s="1">
        <v>2024</v>
      </c>
      <c r="C189" s="1" t="s">
        <v>170</v>
      </c>
      <c r="D189" s="1" t="s">
        <v>167</v>
      </c>
      <c r="E189" s="1" t="s">
        <v>171</v>
      </c>
      <c r="F189" s="1" t="s">
        <v>149</v>
      </c>
      <c r="G189" s="1" t="s">
        <v>362</v>
      </c>
      <c r="H189" s="1" t="s">
        <v>51</v>
      </c>
      <c r="I189" s="1" t="s">
        <v>51</v>
      </c>
      <c r="J189" s="1"/>
    </row>
    <row r="190" spans="1:10" ht="30">
      <c r="A190" s="1" t="s">
        <v>47</v>
      </c>
      <c r="B190" s="1">
        <v>2024</v>
      </c>
      <c r="C190" s="1" t="s">
        <v>173</v>
      </c>
      <c r="D190" s="1" t="s">
        <v>174</v>
      </c>
      <c r="E190" s="1" t="s">
        <v>175</v>
      </c>
      <c r="F190" s="1" t="s">
        <v>149</v>
      </c>
      <c r="G190" s="1" t="s">
        <v>363</v>
      </c>
      <c r="H190" s="1" t="s">
        <v>51</v>
      </c>
      <c r="I190" s="1" t="s">
        <v>51</v>
      </c>
      <c r="J190" s="1" t="s">
        <v>177</v>
      </c>
    </row>
    <row r="191" spans="1:10" ht="15">
      <c r="A191" s="1" t="s">
        <v>47</v>
      </c>
      <c r="B191" s="1">
        <v>2025</v>
      </c>
      <c r="C191" s="1" t="s">
        <v>166</v>
      </c>
      <c r="D191" s="1" t="s">
        <v>167</v>
      </c>
      <c r="E191" s="1" t="s">
        <v>168</v>
      </c>
      <c r="F191" s="1" t="s">
        <v>148</v>
      </c>
      <c r="G191" s="1" t="s">
        <v>364</v>
      </c>
      <c r="H191" s="1" t="s">
        <v>51</v>
      </c>
      <c r="I191" s="1" t="s">
        <v>51</v>
      </c>
      <c r="J191" s="1"/>
    </row>
    <row r="192" spans="1:10" ht="30">
      <c r="A192" s="1" t="s">
        <v>47</v>
      </c>
      <c r="B192" s="1">
        <v>2025</v>
      </c>
      <c r="C192" s="1" t="s">
        <v>170</v>
      </c>
      <c r="D192" s="1" t="s">
        <v>167</v>
      </c>
      <c r="E192" s="1" t="s">
        <v>171</v>
      </c>
      <c r="F192" s="1" t="s">
        <v>149</v>
      </c>
      <c r="G192" s="1" t="s">
        <v>365</v>
      </c>
      <c r="H192" s="1" t="s">
        <v>51</v>
      </c>
      <c r="I192" s="1" t="s">
        <v>51</v>
      </c>
      <c r="J192" s="1"/>
    </row>
    <row r="193" spans="1:10" ht="30">
      <c r="A193" s="1" t="s">
        <v>47</v>
      </c>
      <c r="B193" s="1">
        <v>2025</v>
      </c>
      <c r="C193" s="1" t="s">
        <v>173</v>
      </c>
      <c r="D193" s="1" t="s">
        <v>174</v>
      </c>
      <c r="E193" s="1" t="s">
        <v>175</v>
      </c>
      <c r="F193" s="1" t="s">
        <v>149</v>
      </c>
      <c r="G193" s="1" t="s">
        <v>366</v>
      </c>
      <c r="H193" s="1" t="s">
        <v>51</v>
      </c>
      <c r="I193" s="1" t="s">
        <v>51</v>
      </c>
      <c r="J193" s="1" t="s">
        <v>177</v>
      </c>
    </row>
    <row r="194" spans="1:10" ht="30">
      <c r="A194" s="1" t="s">
        <v>52</v>
      </c>
      <c r="B194" s="1">
        <v>2022</v>
      </c>
      <c r="C194" s="1" t="s">
        <v>166</v>
      </c>
      <c r="D194" s="1" t="s">
        <v>167</v>
      </c>
      <c r="E194" s="1" t="s">
        <v>168</v>
      </c>
      <c r="F194" s="1" t="s">
        <v>150</v>
      </c>
      <c r="G194" s="1" t="s">
        <v>367</v>
      </c>
      <c r="H194" s="1" t="s">
        <v>51</v>
      </c>
      <c r="I194" s="1" t="s">
        <v>51</v>
      </c>
      <c r="J194" s="1"/>
    </row>
    <row r="195" spans="1:10" ht="30">
      <c r="A195" s="1" t="s">
        <v>52</v>
      </c>
      <c r="B195" s="1">
        <v>2022</v>
      </c>
      <c r="C195" s="1" t="s">
        <v>170</v>
      </c>
      <c r="D195" s="1" t="s">
        <v>167</v>
      </c>
      <c r="E195" s="1" t="s">
        <v>171</v>
      </c>
      <c r="F195" s="1" t="s">
        <v>151</v>
      </c>
      <c r="G195" s="1" t="s">
        <v>368</v>
      </c>
      <c r="H195" s="1" t="s">
        <v>51</v>
      </c>
      <c r="I195" s="1" t="s">
        <v>51</v>
      </c>
      <c r="J195" s="1"/>
    </row>
    <row r="196" spans="1:10" ht="30">
      <c r="A196" s="1" t="s">
        <v>52</v>
      </c>
      <c r="B196" s="1">
        <v>2022</v>
      </c>
      <c r="C196" s="1" t="s">
        <v>173</v>
      </c>
      <c r="D196" s="1" t="s">
        <v>174</v>
      </c>
      <c r="E196" s="1" t="s">
        <v>175</v>
      </c>
      <c r="F196" s="1" t="s">
        <v>151</v>
      </c>
      <c r="G196" s="1" t="s">
        <v>369</v>
      </c>
      <c r="H196" s="1" t="s">
        <v>51</v>
      </c>
      <c r="I196" s="1" t="s">
        <v>51</v>
      </c>
      <c r="J196" s="1" t="s">
        <v>177</v>
      </c>
    </row>
    <row r="197" spans="1:10" ht="30">
      <c r="A197" s="1" t="s">
        <v>52</v>
      </c>
      <c r="B197" s="1">
        <v>2023</v>
      </c>
      <c r="C197" s="1" t="s">
        <v>166</v>
      </c>
      <c r="D197" s="1" t="s">
        <v>167</v>
      </c>
      <c r="E197" s="1" t="s">
        <v>168</v>
      </c>
      <c r="F197" s="1" t="s">
        <v>150</v>
      </c>
      <c r="G197" s="1" t="s">
        <v>370</v>
      </c>
      <c r="H197" s="1" t="s">
        <v>51</v>
      </c>
      <c r="I197" s="1" t="s">
        <v>51</v>
      </c>
      <c r="J197" s="1"/>
    </row>
    <row r="198" spans="1:10" ht="30">
      <c r="A198" s="1" t="s">
        <v>52</v>
      </c>
      <c r="B198" s="1">
        <v>2023</v>
      </c>
      <c r="C198" s="1" t="s">
        <v>170</v>
      </c>
      <c r="D198" s="1" t="s">
        <v>167</v>
      </c>
      <c r="E198" s="1" t="s">
        <v>171</v>
      </c>
      <c r="F198" s="1" t="s">
        <v>151</v>
      </c>
      <c r="G198" s="1" t="s">
        <v>371</v>
      </c>
      <c r="H198" s="1" t="s">
        <v>51</v>
      </c>
      <c r="I198" s="1" t="s">
        <v>51</v>
      </c>
      <c r="J198" s="1"/>
    </row>
    <row r="199" spans="1:10" ht="30">
      <c r="A199" s="1" t="s">
        <v>52</v>
      </c>
      <c r="B199" s="1">
        <v>2023</v>
      </c>
      <c r="C199" s="1" t="s">
        <v>173</v>
      </c>
      <c r="D199" s="1" t="s">
        <v>174</v>
      </c>
      <c r="E199" s="1" t="s">
        <v>175</v>
      </c>
      <c r="F199" s="1" t="s">
        <v>151</v>
      </c>
      <c r="G199" s="1" t="s">
        <v>372</v>
      </c>
      <c r="H199" s="1" t="s">
        <v>51</v>
      </c>
      <c r="I199" s="1" t="s">
        <v>51</v>
      </c>
      <c r="J199" s="1" t="s">
        <v>177</v>
      </c>
    </row>
    <row r="200" spans="1:10" ht="30">
      <c r="A200" s="1" t="s">
        <v>52</v>
      </c>
      <c r="B200" s="1">
        <v>2024</v>
      </c>
      <c r="C200" s="1" t="s">
        <v>166</v>
      </c>
      <c r="D200" s="1" t="s">
        <v>167</v>
      </c>
      <c r="E200" s="1" t="s">
        <v>168</v>
      </c>
      <c r="F200" s="1" t="s">
        <v>150</v>
      </c>
      <c r="G200" s="1" t="s">
        <v>373</v>
      </c>
      <c r="H200" s="1" t="s">
        <v>51</v>
      </c>
      <c r="I200" s="1" t="s">
        <v>51</v>
      </c>
      <c r="J200" s="1"/>
    </row>
    <row r="201" spans="1:10" ht="30">
      <c r="A201" s="1" t="s">
        <v>52</v>
      </c>
      <c r="B201" s="1">
        <v>2024</v>
      </c>
      <c r="C201" s="1" t="s">
        <v>170</v>
      </c>
      <c r="D201" s="1" t="s">
        <v>167</v>
      </c>
      <c r="E201" s="1" t="s">
        <v>171</v>
      </c>
      <c r="F201" s="1" t="s">
        <v>151</v>
      </c>
      <c r="G201" s="1" t="s">
        <v>374</v>
      </c>
      <c r="H201" s="1" t="s">
        <v>51</v>
      </c>
      <c r="I201" s="1" t="s">
        <v>51</v>
      </c>
      <c r="J201" s="1"/>
    </row>
    <row r="202" spans="1:10" ht="30">
      <c r="A202" s="1" t="s">
        <v>52</v>
      </c>
      <c r="B202" s="1">
        <v>2024</v>
      </c>
      <c r="C202" s="1" t="s">
        <v>173</v>
      </c>
      <c r="D202" s="1" t="s">
        <v>174</v>
      </c>
      <c r="E202" s="1" t="s">
        <v>175</v>
      </c>
      <c r="F202" s="1" t="s">
        <v>151</v>
      </c>
      <c r="G202" s="1" t="s">
        <v>375</v>
      </c>
      <c r="H202" s="1" t="s">
        <v>51</v>
      </c>
      <c r="I202" s="1" t="s">
        <v>51</v>
      </c>
      <c r="J202" s="1" t="s">
        <v>177</v>
      </c>
    </row>
    <row r="203" spans="1:10" ht="30">
      <c r="A203" s="1" t="s">
        <v>52</v>
      </c>
      <c r="B203" s="1">
        <v>2025</v>
      </c>
      <c r="C203" s="1" t="s">
        <v>166</v>
      </c>
      <c r="D203" s="1" t="s">
        <v>167</v>
      </c>
      <c r="E203" s="1" t="s">
        <v>168</v>
      </c>
      <c r="F203" s="1" t="s">
        <v>150</v>
      </c>
      <c r="G203" s="1" t="s">
        <v>376</v>
      </c>
      <c r="H203" s="1" t="s">
        <v>51</v>
      </c>
      <c r="I203" s="1" t="s">
        <v>51</v>
      </c>
      <c r="J203" s="1"/>
    </row>
    <row r="204" spans="1:10" ht="30">
      <c r="A204" s="1" t="s">
        <v>52</v>
      </c>
      <c r="B204" s="1">
        <v>2025</v>
      </c>
      <c r="C204" s="1" t="s">
        <v>170</v>
      </c>
      <c r="D204" s="1" t="s">
        <v>167</v>
      </c>
      <c r="E204" s="1" t="s">
        <v>171</v>
      </c>
      <c r="F204" s="1" t="s">
        <v>151</v>
      </c>
      <c r="G204" s="1" t="s">
        <v>377</v>
      </c>
      <c r="H204" s="1" t="s">
        <v>51</v>
      </c>
      <c r="I204" s="1" t="s">
        <v>51</v>
      </c>
      <c r="J204" s="1"/>
    </row>
    <row r="205" spans="1:10" ht="30">
      <c r="A205" s="1" t="s">
        <v>52</v>
      </c>
      <c r="B205" s="1">
        <v>2025</v>
      </c>
      <c r="C205" s="1" t="s">
        <v>173</v>
      </c>
      <c r="D205" s="1" t="s">
        <v>174</v>
      </c>
      <c r="E205" s="1" t="s">
        <v>175</v>
      </c>
      <c r="F205" s="1" t="s">
        <v>151</v>
      </c>
      <c r="G205" s="1" t="s">
        <v>378</v>
      </c>
      <c r="H205" s="1" t="s">
        <v>51</v>
      </c>
      <c r="I205" s="1" t="s">
        <v>51</v>
      </c>
      <c r="J205" s="1" t="s">
        <v>177</v>
      </c>
    </row>
    <row r="206" spans="1:10" ht="15">
      <c r="A206" s="1" t="s">
        <v>55</v>
      </c>
      <c r="B206" s="1">
        <v>2022</v>
      </c>
      <c r="C206" s="1" t="s">
        <v>166</v>
      </c>
      <c r="D206" s="1" t="s">
        <v>167</v>
      </c>
      <c r="E206" s="1" t="s">
        <v>168</v>
      </c>
      <c r="F206" s="1" t="s">
        <v>152</v>
      </c>
      <c r="G206" s="1" t="s">
        <v>379</v>
      </c>
      <c r="H206" s="1" t="s">
        <v>51</v>
      </c>
      <c r="I206" s="1" t="s">
        <v>51</v>
      </c>
      <c r="J206" s="1"/>
    </row>
    <row r="207" spans="1:10" ht="30">
      <c r="A207" s="1" t="s">
        <v>55</v>
      </c>
      <c r="B207" s="1">
        <v>2022</v>
      </c>
      <c r="C207" s="1" t="s">
        <v>170</v>
      </c>
      <c r="D207" s="1" t="s">
        <v>167</v>
      </c>
      <c r="E207" s="1" t="s">
        <v>171</v>
      </c>
      <c r="F207" s="1" t="s">
        <v>153</v>
      </c>
      <c r="G207" s="1" t="s">
        <v>380</v>
      </c>
      <c r="H207" s="1" t="s">
        <v>51</v>
      </c>
      <c r="I207" s="1" t="s">
        <v>51</v>
      </c>
      <c r="J207" s="1"/>
    </row>
    <row r="208" spans="1:10" ht="30">
      <c r="A208" s="1" t="s">
        <v>55</v>
      </c>
      <c r="B208" s="1">
        <v>2022</v>
      </c>
      <c r="C208" s="1" t="s">
        <v>173</v>
      </c>
      <c r="D208" s="1" t="s">
        <v>174</v>
      </c>
      <c r="E208" s="1" t="s">
        <v>175</v>
      </c>
      <c r="F208" s="1" t="s">
        <v>153</v>
      </c>
      <c r="G208" s="1" t="s">
        <v>381</v>
      </c>
      <c r="H208" s="1" t="s">
        <v>51</v>
      </c>
      <c r="I208" s="1" t="s">
        <v>51</v>
      </c>
      <c r="J208" s="1" t="s">
        <v>177</v>
      </c>
    </row>
    <row r="209" spans="1:10" ht="15">
      <c r="A209" s="1" t="s">
        <v>55</v>
      </c>
      <c r="B209" s="1">
        <v>2023</v>
      </c>
      <c r="C209" s="1" t="s">
        <v>166</v>
      </c>
      <c r="D209" s="1" t="s">
        <v>167</v>
      </c>
      <c r="E209" s="1" t="s">
        <v>168</v>
      </c>
      <c r="F209" s="1" t="s">
        <v>152</v>
      </c>
      <c r="G209" s="1" t="s">
        <v>382</v>
      </c>
      <c r="H209" s="1" t="s">
        <v>51</v>
      </c>
      <c r="I209" s="1" t="s">
        <v>51</v>
      </c>
      <c r="J209" s="1"/>
    </row>
    <row r="210" spans="1:10" ht="30">
      <c r="A210" s="1" t="s">
        <v>55</v>
      </c>
      <c r="B210" s="1">
        <v>2023</v>
      </c>
      <c r="C210" s="1" t="s">
        <v>170</v>
      </c>
      <c r="D210" s="1" t="s">
        <v>167</v>
      </c>
      <c r="E210" s="1" t="s">
        <v>171</v>
      </c>
      <c r="F210" s="1" t="s">
        <v>153</v>
      </c>
      <c r="G210" s="1" t="s">
        <v>383</v>
      </c>
      <c r="H210" s="1" t="s">
        <v>51</v>
      </c>
      <c r="I210" s="1" t="s">
        <v>51</v>
      </c>
      <c r="J210" s="1"/>
    </row>
    <row r="211" spans="1:10" ht="30">
      <c r="A211" s="1" t="s">
        <v>55</v>
      </c>
      <c r="B211" s="1">
        <v>2023</v>
      </c>
      <c r="C211" s="1" t="s">
        <v>173</v>
      </c>
      <c r="D211" s="1" t="s">
        <v>174</v>
      </c>
      <c r="E211" s="1" t="s">
        <v>175</v>
      </c>
      <c r="F211" s="1" t="s">
        <v>153</v>
      </c>
      <c r="G211" s="1" t="s">
        <v>384</v>
      </c>
      <c r="H211" s="1" t="s">
        <v>51</v>
      </c>
      <c r="I211" s="1" t="s">
        <v>51</v>
      </c>
      <c r="J211" s="1" t="s">
        <v>177</v>
      </c>
    </row>
    <row r="212" spans="1:10" ht="15">
      <c r="A212" s="1" t="s">
        <v>55</v>
      </c>
      <c r="B212" s="1">
        <v>2024</v>
      </c>
      <c r="C212" s="1" t="s">
        <v>166</v>
      </c>
      <c r="D212" s="1" t="s">
        <v>167</v>
      </c>
      <c r="E212" s="1" t="s">
        <v>168</v>
      </c>
      <c r="F212" s="1" t="s">
        <v>152</v>
      </c>
      <c r="G212" s="1" t="s">
        <v>385</v>
      </c>
      <c r="H212" s="1" t="s">
        <v>51</v>
      </c>
      <c r="I212" s="1" t="s">
        <v>51</v>
      </c>
      <c r="J212" s="1"/>
    </row>
    <row r="213" spans="1:10" ht="30">
      <c r="A213" s="1" t="s">
        <v>55</v>
      </c>
      <c r="B213" s="1">
        <v>2024</v>
      </c>
      <c r="C213" s="1" t="s">
        <v>170</v>
      </c>
      <c r="D213" s="1" t="s">
        <v>167</v>
      </c>
      <c r="E213" s="1" t="s">
        <v>171</v>
      </c>
      <c r="F213" s="1" t="s">
        <v>153</v>
      </c>
      <c r="G213" s="1" t="s">
        <v>386</v>
      </c>
      <c r="H213" s="1" t="s">
        <v>51</v>
      </c>
      <c r="I213" s="1" t="s">
        <v>51</v>
      </c>
      <c r="J213" s="1"/>
    </row>
    <row r="214" spans="1:10" ht="30">
      <c r="A214" s="1" t="s">
        <v>55</v>
      </c>
      <c r="B214" s="1">
        <v>2024</v>
      </c>
      <c r="C214" s="1" t="s">
        <v>173</v>
      </c>
      <c r="D214" s="1" t="s">
        <v>174</v>
      </c>
      <c r="E214" s="1" t="s">
        <v>175</v>
      </c>
      <c r="F214" s="1" t="s">
        <v>153</v>
      </c>
      <c r="G214" s="1" t="s">
        <v>387</v>
      </c>
      <c r="H214" s="1" t="s">
        <v>51</v>
      </c>
      <c r="I214" s="1" t="s">
        <v>51</v>
      </c>
      <c r="J214" s="1" t="s">
        <v>177</v>
      </c>
    </row>
    <row r="215" spans="1:10" ht="15">
      <c r="A215" s="1" t="s">
        <v>55</v>
      </c>
      <c r="B215" s="1">
        <v>2025</v>
      </c>
      <c r="C215" s="1" t="s">
        <v>166</v>
      </c>
      <c r="D215" s="1" t="s">
        <v>167</v>
      </c>
      <c r="E215" s="1" t="s">
        <v>168</v>
      </c>
      <c r="F215" s="1" t="s">
        <v>152</v>
      </c>
      <c r="G215" s="1" t="s">
        <v>388</v>
      </c>
      <c r="H215" s="1" t="s">
        <v>51</v>
      </c>
      <c r="I215" s="1" t="s">
        <v>51</v>
      </c>
      <c r="J215" s="1"/>
    </row>
    <row r="216" spans="1:10" ht="30">
      <c r="A216" s="1" t="s">
        <v>55</v>
      </c>
      <c r="B216" s="1">
        <v>2025</v>
      </c>
      <c r="C216" s="1" t="s">
        <v>170</v>
      </c>
      <c r="D216" s="1" t="s">
        <v>167</v>
      </c>
      <c r="E216" s="1" t="s">
        <v>171</v>
      </c>
      <c r="F216" s="1" t="s">
        <v>153</v>
      </c>
      <c r="G216" s="1" t="s">
        <v>389</v>
      </c>
      <c r="H216" s="1" t="s">
        <v>51</v>
      </c>
      <c r="I216" s="1" t="s">
        <v>51</v>
      </c>
      <c r="J216" s="1"/>
    </row>
    <row r="217" spans="1:10" ht="30">
      <c r="A217" s="1" t="s">
        <v>55</v>
      </c>
      <c r="B217" s="1">
        <v>2025</v>
      </c>
      <c r="C217" s="1" t="s">
        <v>173</v>
      </c>
      <c r="D217" s="1" t="s">
        <v>174</v>
      </c>
      <c r="E217" s="1" t="s">
        <v>175</v>
      </c>
      <c r="F217" s="1" t="s">
        <v>153</v>
      </c>
      <c r="G217" s="1" t="s">
        <v>390</v>
      </c>
      <c r="H217" s="1" t="s">
        <v>51</v>
      </c>
      <c r="I217" s="1" t="s">
        <v>51</v>
      </c>
      <c r="J217" s="1" t="s">
        <v>177</v>
      </c>
    </row>
    <row r="218" spans="1:10" ht="15">
      <c r="A218" s="1" t="s">
        <v>58</v>
      </c>
      <c r="B218" s="1">
        <v>2022</v>
      </c>
      <c r="C218" s="1" t="s">
        <v>166</v>
      </c>
      <c r="D218" s="1" t="s">
        <v>167</v>
      </c>
      <c r="E218" s="1" t="s">
        <v>168</v>
      </c>
      <c r="F218" s="1" t="s">
        <v>154</v>
      </c>
      <c r="G218" s="1" t="s">
        <v>391</v>
      </c>
      <c r="H218" s="1" t="s">
        <v>51</v>
      </c>
      <c r="I218" s="1" t="s">
        <v>51</v>
      </c>
      <c r="J218" s="1"/>
    </row>
    <row r="219" spans="1:10" ht="15">
      <c r="A219" s="1" t="s">
        <v>58</v>
      </c>
      <c r="B219" s="1">
        <v>2022</v>
      </c>
      <c r="C219" s="1" t="s">
        <v>170</v>
      </c>
      <c r="D219" s="1" t="s">
        <v>167</v>
      </c>
      <c r="E219" s="1" t="s">
        <v>171</v>
      </c>
      <c r="F219" s="1" t="s">
        <v>155</v>
      </c>
      <c r="G219" s="1" t="s">
        <v>392</v>
      </c>
      <c r="H219" s="1" t="s">
        <v>51</v>
      </c>
      <c r="I219" s="1" t="s">
        <v>51</v>
      </c>
      <c r="J219" s="1"/>
    </row>
    <row r="220" spans="1:10" ht="30">
      <c r="A220" s="1" t="s">
        <v>58</v>
      </c>
      <c r="B220" s="1">
        <v>2022</v>
      </c>
      <c r="C220" s="1" t="s">
        <v>173</v>
      </c>
      <c r="D220" s="1" t="s">
        <v>174</v>
      </c>
      <c r="E220" s="1" t="s">
        <v>175</v>
      </c>
      <c r="F220" s="1" t="s">
        <v>155</v>
      </c>
      <c r="G220" s="1" t="s">
        <v>393</v>
      </c>
      <c r="H220" s="1" t="s">
        <v>51</v>
      </c>
      <c r="I220" s="1" t="s">
        <v>51</v>
      </c>
      <c r="J220" s="1" t="s">
        <v>177</v>
      </c>
    </row>
    <row r="221" spans="1:10" ht="15">
      <c r="A221" s="1" t="s">
        <v>58</v>
      </c>
      <c r="B221" s="1">
        <v>2023</v>
      </c>
      <c r="C221" s="1" t="s">
        <v>166</v>
      </c>
      <c r="D221" s="1" t="s">
        <v>167</v>
      </c>
      <c r="E221" s="1" t="s">
        <v>168</v>
      </c>
      <c r="F221" s="1" t="s">
        <v>154</v>
      </c>
      <c r="G221" s="1" t="s">
        <v>394</v>
      </c>
      <c r="H221" s="1" t="s">
        <v>51</v>
      </c>
      <c r="I221" s="1" t="s">
        <v>51</v>
      </c>
      <c r="J221" s="1"/>
    </row>
    <row r="222" spans="1:10" ht="15">
      <c r="A222" s="1" t="s">
        <v>58</v>
      </c>
      <c r="B222" s="1">
        <v>2023</v>
      </c>
      <c r="C222" s="1" t="s">
        <v>170</v>
      </c>
      <c r="D222" s="1" t="s">
        <v>167</v>
      </c>
      <c r="E222" s="1" t="s">
        <v>171</v>
      </c>
      <c r="F222" s="1" t="s">
        <v>155</v>
      </c>
      <c r="G222" s="1" t="s">
        <v>395</v>
      </c>
      <c r="H222" s="1" t="s">
        <v>51</v>
      </c>
      <c r="I222" s="1" t="s">
        <v>51</v>
      </c>
      <c r="J222" s="1"/>
    </row>
    <row r="223" spans="1:10" ht="30">
      <c r="A223" s="1" t="s">
        <v>58</v>
      </c>
      <c r="B223" s="1">
        <v>2023</v>
      </c>
      <c r="C223" s="1" t="s">
        <v>173</v>
      </c>
      <c r="D223" s="1" t="s">
        <v>174</v>
      </c>
      <c r="E223" s="1" t="s">
        <v>175</v>
      </c>
      <c r="F223" s="1" t="s">
        <v>155</v>
      </c>
      <c r="G223" s="1" t="s">
        <v>396</v>
      </c>
      <c r="H223" s="1" t="s">
        <v>51</v>
      </c>
      <c r="I223" s="1" t="s">
        <v>51</v>
      </c>
      <c r="J223" s="1" t="s">
        <v>177</v>
      </c>
    </row>
    <row r="224" spans="1:10" ht="15">
      <c r="A224" s="1" t="s">
        <v>58</v>
      </c>
      <c r="B224" s="1">
        <v>2024</v>
      </c>
      <c r="C224" s="1" t="s">
        <v>166</v>
      </c>
      <c r="D224" s="1" t="s">
        <v>167</v>
      </c>
      <c r="E224" s="1" t="s">
        <v>168</v>
      </c>
      <c r="F224" s="1" t="s">
        <v>154</v>
      </c>
      <c r="G224" s="1" t="s">
        <v>397</v>
      </c>
      <c r="H224" s="1" t="s">
        <v>51</v>
      </c>
      <c r="I224" s="1" t="s">
        <v>51</v>
      </c>
      <c r="J224" s="1"/>
    </row>
    <row r="225" spans="1:10" ht="15">
      <c r="A225" s="1" t="s">
        <v>58</v>
      </c>
      <c r="B225" s="1">
        <v>2024</v>
      </c>
      <c r="C225" s="1" t="s">
        <v>170</v>
      </c>
      <c r="D225" s="1" t="s">
        <v>167</v>
      </c>
      <c r="E225" s="1" t="s">
        <v>171</v>
      </c>
      <c r="F225" s="1" t="s">
        <v>155</v>
      </c>
      <c r="G225" s="1" t="s">
        <v>398</v>
      </c>
      <c r="H225" s="1" t="s">
        <v>51</v>
      </c>
      <c r="I225" s="1" t="s">
        <v>51</v>
      </c>
      <c r="J225" s="1"/>
    </row>
    <row r="226" spans="1:10" ht="30">
      <c r="A226" s="1" t="s">
        <v>58</v>
      </c>
      <c r="B226" s="1">
        <v>2024</v>
      </c>
      <c r="C226" s="1" t="s">
        <v>173</v>
      </c>
      <c r="D226" s="1" t="s">
        <v>174</v>
      </c>
      <c r="E226" s="1" t="s">
        <v>175</v>
      </c>
      <c r="F226" s="1" t="s">
        <v>155</v>
      </c>
      <c r="G226" s="1" t="s">
        <v>399</v>
      </c>
      <c r="H226" s="1" t="s">
        <v>51</v>
      </c>
      <c r="I226" s="1" t="s">
        <v>51</v>
      </c>
      <c r="J226" s="1" t="s">
        <v>177</v>
      </c>
    </row>
    <row r="227" spans="1:10" ht="15">
      <c r="A227" s="1" t="s">
        <v>58</v>
      </c>
      <c r="B227" s="1">
        <v>2025</v>
      </c>
      <c r="C227" s="1" t="s">
        <v>166</v>
      </c>
      <c r="D227" s="1" t="s">
        <v>167</v>
      </c>
      <c r="E227" s="1" t="s">
        <v>168</v>
      </c>
      <c r="F227" s="1" t="s">
        <v>154</v>
      </c>
      <c r="G227" s="1" t="s">
        <v>400</v>
      </c>
      <c r="H227" s="1" t="s">
        <v>51</v>
      </c>
      <c r="I227" s="1" t="s">
        <v>51</v>
      </c>
      <c r="J227" s="1"/>
    </row>
    <row r="228" spans="1:10" ht="15">
      <c r="A228" s="1" t="s">
        <v>58</v>
      </c>
      <c r="B228" s="1">
        <v>2025</v>
      </c>
      <c r="C228" s="1" t="s">
        <v>170</v>
      </c>
      <c r="D228" s="1" t="s">
        <v>167</v>
      </c>
      <c r="E228" s="1" t="s">
        <v>171</v>
      </c>
      <c r="F228" s="1" t="s">
        <v>155</v>
      </c>
      <c r="G228" s="1" t="s">
        <v>401</v>
      </c>
      <c r="H228" s="1" t="s">
        <v>51</v>
      </c>
      <c r="I228" s="1" t="s">
        <v>51</v>
      </c>
      <c r="J228" s="1"/>
    </row>
    <row r="229" spans="1:10" ht="30">
      <c r="A229" s="1" t="s">
        <v>58</v>
      </c>
      <c r="B229" s="1">
        <v>2025</v>
      </c>
      <c r="C229" s="1" t="s">
        <v>173</v>
      </c>
      <c r="D229" s="1" t="s">
        <v>174</v>
      </c>
      <c r="E229" s="1" t="s">
        <v>175</v>
      </c>
      <c r="F229" s="1" t="s">
        <v>155</v>
      </c>
      <c r="G229" s="1" t="s">
        <v>402</v>
      </c>
      <c r="H229" s="1" t="s">
        <v>51</v>
      </c>
      <c r="I229" s="1" t="s">
        <v>51</v>
      </c>
      <c r="J229" s="1" t="s">
        <v>177</v>
      </c>
    </row>
    <row r="230" spans="1:10" ht="45">
      <c r="A230" s="1" t="s">
        <v>62</v>
      </c>
      <c r="B230" s="1">
        <v>2022</v>
      </c>
      <c r="C230" s="1" t="s">
        <v>166</v>
      </c>
      <c r="D230" s="1" t="s">
        <v>167</v>
      </c>
      <c r="E230" s="1" t="s">
        <v>403</v>
      </c>
      <c r="F230" s="1" t="s">
        <v>156</v>
      </c>
      <c r="G230" s="1" t="s">
        <v>404</v>
      </c>
      <c r="H230" s="1" t="s">
        <v>51</v>
      </c>
      <c r="I230" s="1" t="s">
        <v>51</v>
      </c>
      <c r="J230" s="1" t="s">
        <v>405</v>
      </c>
    </row>
    <row r="231" spans="1:10" ht="45">
      <c r="A231" s="1" t="s">
        <v>62</v>
      </c>
      <c r="B231" s="1">
        <v>2022</v>
      </c>
      <c r="C231" s="1" t="s">
        <v>170</v>
      </c>
      <c r="D231" s="1" t="s">
        <v>167</v>
      </c>
      <c r="E231" s="1" t="s">
        <v>406</v>
      </c>
      <c r="F231" s="1" t="s">
        <v>157</v>
      </c>
      <c r="G231" s="1" t="s">
        <v>407</v>
      </c>
      <c r="H231" s="1" t="s">
        <v>51</v>
      </c>
      <c r="I231" s="1" t="s">
        <v>51</v>
      </c>
      <c r="J231" s="1" t="s">
        <v>405</v>
      </c>
    </row>
    <row r="232" spans="1:10" ht="30">
      <c r="A232" s="1" t="s">
        <v>62</v>
      </c>
      <c r="B232" s="1">
        <v>2022</v>
      </c>
      <c r="C232" s="1" t="s">
        <v>173</v>
      </c>
      <c r="D232" s="1" t="s">
        <v>174</v>
      </c>
      <c r="E232" s="1" t="s">
        <v>175</v>
      </c>
      <c r="F232" s="1" t="s">
        <v>157</v>
      </c>
      <c r="G232" s="1" t="s">
        <v>408</v>
      </c>
      <c r="H232" s="1" t="s">
        <v>51</v>
      </c>
      <c r="I232" s="1" t="s">
        <v>51</v>
      </c>
      <c r="J232" s="1" t="s">
        <v>177</v>
      </c>
    </row>
    <row r="233" spans="1:10" ht="45">
      <c r="A233" s="1" t="s">
        <v>62</v>
      </c>
      <c r="B233" s="1">
        <v>2023</v>
      </c>
      <c r="C233" s="1" t="s">
        <v>166</v>
      </c>
      <c r="D233" s="1" t="s">
        <v>167</v>
      </c>
      <c r="E233" s="1" t="s">
        <v>403</v>
      </c>
      <c r="F233" s="1" t="s">
        <v>156</v>
      </c>
      <c r="G233" s="1" t="s">
        <v>409</v>
      </c>
      <c r="H233" s="1" t="s">
        <v>51</v>
      </c>
      <c r="I233" s="1" t="s">
        <v>51</v>
      </c>
      <c r="J233" s="1" t="s">
        <v>405</v>
      </c>
    </row>
    <row r="234" spans="1:10" ht="45">
      <c r="A234" s="1" t="s">
        <v>62</v>
      </c>
      <c r="B234" s="1">
        <v>2023</v>
      </c>
      <c r="C234" s="1" t="s">
        <v>170</v>
      </c>
      <c r="D234" s="1" t="s">
        <v>167</v>
      </c>
      <c r="E234" s="1" t="s">
        <v>406</v>
      </c>
      <c r="F234" s="1" t="s">
        <v>157</v>
      </c>
      <c r="G234" s="1" t="s">
        <v>410</v>
      </c>
      <c r="H234" s="1" t="s">
        <v>51</v>
      </c>
      <c r="I234" s="1" t="s">
        <v>51</v>
      </c>
      <c r="J234" s="1" t="s">
        <v>405</v>
      </c>
    </row>
    <row r="235" spans="1:10" ht="30">
      <c r="A235" s="1" t="s">
        <v>62</v>
      </c>
      <c r="B235" s="1">
        <v>2023</v>
      </c>
      <c r="C235" s="1" t="s">
        <v>173</v>
      </c>
      <c r="D235" s="1" t="s">
        <v>174</v>
      </c>
      <c r="E235" s="1" t="s">
        <v>175</v>
      </c>
      <c r="F235" s="1" t="s">
        <v>157</v>
      </c>
      <c r="G235" s="1" t="s">
        <v>411</v>
      </c>
      <c r="H235" s="1" t="s">
        <v>51</v>
      </c>
      <c r="I235" s="1" t="s">
        <v>51</v>
      </c>
      <c r="J235" s="1" t="s">
        <v>177</v>
      </c>
    </row>
    <row r="236" spans="1:10" ht="45">
      <c r="A236" s="1" t="s">
        <v>62</v>
      </c>
      <c r="B236" s="1">
        <v>2024</v>
      </c>
      <c r="C236" s="1" t="s">
        <v>166</v>
      </c>
      <c r="D236" s="1" t="s">
        <v>167</v>
      </c>
      <c r="E236" s="1" t="s">
        <v>403</v>
      </c>
      <c r="F236" s="1" t="s">
        <v>156</v>
      </c>
      <c r="G236" s="1" t="s">
        <v>412</v>
      </c>
      <c r="H236" s="1" t="s">
        <v>51</v>
      </c>
      <c r="I236" s="1" t="s">
        <v>51</v>
      </c>
      <c r="J236" s="1" t="s">
        <v>405</v>
      </c>
    </row>
    <row r="237" spans="1:10" ht="45">
      <c r="A237" s="1" t="s">
        <v>62</v>
      </c>
      <c r="B237" s="1">
        <v>2024</v>
      </c>
      <c r="C237" s="1" t="s">
        <v>170</v>
      </c>
      <c r="D237" s="1" t="s">
        <v>167</v>
      </c>
      <c r="E237" s="1" t="s">
        <v>406</v>
      </c>
      <c r="F237" s="1" t="s">
        <v>157</v>
      </c>
      <c r="G237" s="1" t="s">
        <v>413</v>
      </c>
      <c r="H237" s="1" t="s">
        <v>51</v>
      </c>
      <c r="I237" s="1" t="s">
        <v>51</v>
      </c>
      <c r="J237" s="1" t="s">
        <v>405</v>
      </c>
    </row>
    <row r="238" spans="1:10" ht="30">
      <c r="A238" s="1" t="s">
        <v>62</v>
      </c>
      <c r="B238" s="1">
        <v>2024</v>
      </c>
      <c r="C238" s="1" t="s">
        <v>173</v>
      </c>
      <c r="D238" s="1" t="s">
        <v>174</v>
      </c>
      <c r="E238" s="1" t="s">
        <v>175</v>
      </c>
      <c r="F238" s="1" t="s">
        <v>157</v>
      </c>
      <c r="G238" s="1" t="s">
        <v>414</v>
      </c>
      <c r="H238" s="1" t="s">
        <v>51</v>
      </c>
      <c r="I238" s="1" t="s">
        <v>51</v>
      </c>
      <c r="J238" s="1" t="s">
        <v>177</v>
      </c>
    </row>
    <row r="239" spans="1:10" ht="45">
      <c r="A239" s="1" t="s">
        <v>62</v>
      </c>
      <c r="B239" s="1">
        <v>2025</v>
      </c>
      <c r="C239" s="1" t="s">
        <v>166</v>
      </c>
      <c r="D239" s="1" t="s">
        <v>167</v>
      </c>
      <c r="E239" s="1" t="s">
        <v>403</v>
      </c>
      <c r="F239" s="1" t="s">
        <v>156</v>
      </c>
      <c r="G239" s="1" t="s">
        <v>415</v>
      </c>
      <c r="H239" s="1" t="s">
        <v>51</v>
      </c>
      <c r="I239" s="1" t="s">
        <v>51</v>
      </c>
      <c r="J239" s="1" t="s">
        <v>405</v>
      </c>
    </row>
    <row r="240" spans="1:10" ht="45">
      <c r="A240" s="1" t="s">
        <v>62</v>
      </c>
      <c r="B240" s="1">
        <v>2025</v>
      </c>
      <c r="C240" s="1" t="s">
        <v>170</v>
      </c>
      <c r="D240" s="1" t="s">
        <v>167</v>
      </c>
      <c r="E240" s="1" t="s">
        <v>406</v>
      </c>
      <c r="F240" s="1" t="s">
        <v>157</v>
      </c>
      <c r="G240" s="1" t="s">
        <v>416</v>
      </c>
      <c r="H240" s="1" t="s">
        <v>51</v>
      </c>
      <c r="I240" s="1" t="s">
        <v>51</v>
      </c>
      <c r="J240" s="1" t="s">
        <v>405</v>
      </c>
    </row>
    <row r="241" spans="1:10" ht="30">
      <c r="A241" s="1" t="s">
        <v>62</v>
      </c>
      <c r="B241" s="1">
        <v>2025</v>
      </c>
      <c r="C241" s="1" t="s">
        <v>173</v>
      </c>
      <c r="D241" s="1" t="s">
        <v>174</v>
      </c>
      <c r="E241" s="1" t="s">
        <v>175</v>
      </c>
      <c r="F241" s="1" t="s">
        <v>157</v>
      </c>
      <c r="G241" s="1" t="s">
        <v>417</v>
      </c>
      <c r="H241" s="1" t="s">
        <v>51</v>
      </c>
      <c r="I241" s="1" t="s">
        <v>51</v>
      </c>
      <c r="J241" s="1" t="s">
        <v>177</v>
      </c>
    </row>
  </sheetData>
  <dataValidations count="1">
    <dataValidation type="list" sqref="H2:I241" xr:uid="{00000000-0002-0000-0400-000000000000}">
      <formula1>"No,Yes,N/A"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01"/>
  <sheetViews>
    <sheetView topLeftCell="J1" workbookViewId="0"/>
  </sheetViews>
  <sheetFormatPr baseColWidth="10" defaultColWidth="8.83203125" defaultRowHeight="14"/>
  <cols>
    <col min="1" max="1" width="20" customWidth="1"/>
    <col min="2" max="2" width="14" customWidth="1"/>
    <col min="3" max="3" width="9" customWidth="1"/>
    <col min="4" max="4" width="18" customWidth="1"/>
    <col min="5" max="5" width="10" customWidth="1"/>
    <col min="6" max="6" width="34" customWidth="1"/>
    <col min="7" max="7" width="12" customWidth="1"/>
    <col min="8" max="8" width="30" customWidth="1"/>
    <col min="9" max="9" width="52" customWidth="1"/>
    <col min="10" max="10" width="34" customWidth="1"/>
    <col min="11" max="11" width="14" customWidth="1"/>
    <col min="12" max="12" width="40" customWidth="1"/>
    <col min="13" max="13" width="18" customWidth="1"/>
    <col min="14" max="14" width="16" customWidth="1"/>
    <col min="15" max="15" width="18" customWidth="1"/>
    <col min="16" max="16" width="52" customWidth="1"/>
  </cols>
  <sheetData>
    <row r="1" spans="1:16" ht="48" customHeight="1">
      <c r="A1" s="2" t="s">
        <v>4</v>
      </c>
      <c r="B1" s="2" t="s">
        <v>1</v>
      </c>
      <c r="C1" s="2" t="s">
        <v>159</v>
      </c>
      <c r="D1" s="2" t="s">
        <v>3</v>
      </c>
      <c r="E1" s="2" t="s">
        <v>66</v>
      </c>
      <c r="F1" s="2" t="s">
        <v>418</v>
      </c>
      <c r="G1" s="2" t="s">
        <v>419</v>
      </c>
      <c r="H1" s="2" t="s">
        <v>420</v>
      </c>
      <c r="I1" s="2" t="s">
        <v>421</v>
      </c>
      <c r="J1" s="2" t="s">
        <v>422</v>
      </c>
      <c r="K1" s="2" t="s">
        <v>423</v>
      </c>
      <c r="L1" s="2" t="s">
        <v>424</v>
      </c>
      <c r="M1" s="2" t="s">
        <v>425</v>
      </c>
      <c r="N1" s="2" t="s">
        <v>426</v>
      </c>
      <c r="O1" s="2" t="s">
        <v>427</v>
      </c>
      <c r="P1" s="2" t="s">
        <v>428</v>
      </c>
    </row>
    <row r="2" spans="1:16" ht="69.25" customHeight="1">
      <c r="A2" s="1" t="s">
        <v>9</v>
      </c>
      <c r="B2" s="1" t="s">
        <v>5</v>
      </c>
      <c r="C2" s="1">
        <v>2022</v>
      </c>
      <c r="D2" s="1" t="s">
        <v>8</v>
      </c>
      <c r="E2" s="1" t="s">
        <v>70</v>
      </c>
      <c r="F2" s="1" t="s">
        <v>71</v>
      </c>
      <c r="G2" s="1">
        <v>1</v>
      </c>
      <c r="H2" s="1" t="s">
        <v>429</v>
      </c>
      <c r="I2" s="1" t="s">
        <v>430</v>
      </c>
      <c r="J2" s="1" t="s">
        <v>431</v>
      </c>
      <c r="K2" s="1" t="s">
        <v>432</v>
      </c>
      <c r="L2" s="1" t="s">
        <v>118</v>
      </c>
      <c r="M2" s="1" t="s">
        <v>51</v>
      </c>
      <c r="N2" s="1"/>
      <c r="O2" s="1">
        <f t="shared" ref="O2:O65" si="0">IF(N2&lt;&gt;"",N2,G2)</f>
        <v>1</v>
      </c>
      <c r="P2" s="1" t="s">
        <v>433</v>
      </c>
    </row>
    <row r="3" spans="1:16" ht="69.25" customHeight="1">
      <c r="A3" s="1" t="s">
        <v>9</v>
      </c>
      <c r="B3" s="1" t="s">
        <v>5</v>
      </c>
      <c r="C3" s="1">
        <v>2022</v>
      </c>
      <c r="D3" s="1" t="s">
        <v>8</v>
      </c>
      <c r="E3" s="1" t="s">
        <v>74</v>
      </c>
      <c r="F3" s="1" t="s">
        <v>75</v>
      </c>
      <c r="G3" s="1">
        <v>0</v>
      </c>
      <c r="H3" s="1" t="s">
        <v>434</v>
      </c>
      <c r="I3" s="1" t="s">
        <v>435</v>
      </c>
      <c r="J3" s="1" t="s">
        <v>431</v>
      </c>
      <c r="K3" s="1" t="s">
        <v>436</v>
      </c>
      <c r="L3" s="1" t="s">
        <v>118</v>
      </c>
      <c r="M3" s="1" t="s">
        <v>51</v>
      </c>
      <c r="N3" s="1"/>
      <c r="O3" s="1">
        <f t="shared" si="0"/>
        <v>0</v>
      </c>
      <c r="P3" s="1" t="s">
        <v>437</v>
      </c>
    </row>
    <row r="4" spans="1:16" ht="69.25" customHeight="1">
      <c r="A4" s="1" t="s">
        <v>9</v>
      </c>
      <c r="B4" s="1" t="s">
        <v>5</v>
      </c>
      <c r="C4" s="1">
        <v>2022</v>
      </c>
      <c r="D4" s="1" t="s">
        <v>8</v>
      </c>
      <c r="E4" s="1" t="s">
        <v>78</v>
      </c>
      <c r="F4" s="1" t="s">
        <v>79</v>
      </c>
      <c r="G4" s="1">
        <v>0</v>
      </c>
      <c r="H4" s="1" t="s">
        <v>434</v>
      </c>
      <c r="I4" s="1" t="s">
        <v>438</v>
      </c>
      <c r="J4" s="1" t="s">
        <v>431</v>
      </c>
      <c r="K4" s="1"/>
      <c r="L4" s="1" t="s">
        <v>118</v>
      </c>
      <c r="M4" s="1" t="s">
        <v>51</v>
      </c>
      <c r="N4" s="1"/>
      <c r="O4" s="1">
        <f t="shared" si="0"/>
        <v>0</v>
      </c>
      <c r="P4" s="1" t="s">
        <v>439</v>
      </c>
    </row>
    <row r="5" spans="1:16" ht="69.25" customHeight="1">
      <c r="A5" s="1" t="s">
        <v>9</v>
      </c>
      <c r="B5" s="1" t="s">
        <v>5</v>
      </c>
      <c r="C5" s="1">
        <v>2022</v>
      </c>
      <c r="D5" s="1" t="s">
        <v>8</v>
      </c>
      <c r="E5" s="1" t="s">
        <v>82</v>
      </c>
      <c r="F5" s="1" t="s">
        <v>83</v>
      </c>
      <c r="G5" s="1">
        <v>0</v>
      </c>
      <c r="H5" s="1" t="s">
        <v>434</v>
      </c>
      <c r="I5" s="1" t="s">
        <v>440</v>
      </c>
      <c r="J5" s="1" t="s">
        <v>431</v>
      </c>
      <c r="K5" s="1"/>
      <c r="L5" s="1" t="s">
        <v>118</v>
      </c>
      <c r="M5" s="1" t="s">
        <v>51</v>
      </c>
      <c r="N5" s="1"/>
      <c r="O5" s="1">
        <f t="shared" si="0"/>
        <v>0</v>
      </c>
      <c r="P5" s="1" t="s">
        <v>441</v>
      </c>
    </row>
    <row r="6" spans="1:16" ht="69.25" customHeight="1">
      <c r="A6" s="1" t="s">
        <v>9</v>
      </c>
      <c r="B6" s="1" t="s">
        <v>5</v>
      </c>
      <c r="C6" s="1">
        <v>2022</v>
      </c>
      <c r="D6" s="1" t="s">
        <v>8</v>
      </c>
      <c r="E6" s="1" t="s">
        <v>86</v>
      </c>
      <c r="F6" s="1" t="s">
        <v>87</v>
      </c>
      <c r="G6" s="1">
        <v>0</v>
      </c>
      <c r="H6" s="1" t="s">
        <v>434</v>
      </c>
      <c r="I6" s="1" t="s">
        <v>440</v>
      </c>
      <c r="J6" s="1" t="s">
        <v>431</v>
      </c>
      <c r="K6" s="1"/>
      <c r="L6" s="1" t="s">
        <v>118</v>
      </c>
      <c r="M6" s="1" t="s">
        <v>51</v>
      </c>
      <c r="N6" s="1"/>
      <c r="O6" s="1">
        <f t="shared" si="0"/>
        <v>0</v>
      </c>
      <c r="P6" s="1" t="s">
        <v>441</v>
      </c>
    </row>
    <row r="7" spans="1:16" ht="69.25" customHeight="1">
      <c r="A7" s="1" t="s">
        <v>9</v>
      </c>
      <c r="B7" s="1" t="s">
        <v>5</v>
      </c>
      <c r="C7" s="1">
        <v>2022</v>
      </c>
      <c r="D7" s="1" t="s">
        <v>8</v>
      </c>
      <c r="E7" s="1" t="s">
        <v>90</v>
      </c>
      <c r="F7" s="1" t="s">
        <v>91</v>
      </c>
      <c r="G7" s="1">
        <v>0</v>
      </c>
      <c r="H7" s="1" t="s">
        <v>434</v>
      </c>
      <c r="I7" s="1" t="s">
        <v>442</v>
      </c>
      <c r="J7" s="1" t="s">
        <v>431</v>
      </c>
      <c r="K7" s="1" t="s">
        <v>443</v>
      </c>
      <c r="L7" s="1" t="s">
        <v>118</v>
      </c>
      <c r="M7" s="1" t="s">
        <v>51</v>
      </c>
      <c r="N7" s="1"/>
      <c r="O7" s="1">
        <f t="shared" si="0"/>
        <v>0</v>
      </c>
      <c r="P7" s="1" t="s">
        <v>444</v>
      </c>
    </row>
    <row r="8" spans="1:16" ht="69.25" customHeight="1">
      <c r="A8" s="1" t="s">
        <v>9</v>
      </c>
      <c r="B8" s="1" t="s">
        <v>5</v>
      </c>
      <c r="C8" s="1">
        <v>2022</v>
      </c>
      <c r="D8" s="1" t="s">
        <v>8</v>
      </c>
      <c r="E8" s="1" t="s">
        <v>94</v>
      </c>
      <c r="F8" s="1" t="s">
        <v>95</v>
      </c>
      <c r="G8" s="1">
        <v>0</v>
      </c>
      <c r="H8" s="1" t="s">
        <v>445</v>
      </c>
      <c r="I8" s="1" t="s">
        <v>446</v>
      </c>
      <c r="J8" s="1" t="s">
        <v>431</v>
      </c>
      <c r="K8" s="1" t="s">
        <v>447</v>
      </c>
      <c r="L8" s="1" t="s">
        <v>118</v>
      </c>
      <c r="M8" s="1" t="s">
        <v>51</v>
      </c>
      <c r="N8" s="1"/>
      <c r="O8" s="1">
        <f t="shared" si="0"/>
        <v>0</v>
      </c>
      <c r="P8" s="1" t="s">
        <v>448</v>
      </c>
    </row>
    <row r="9" spans="1:16" ht="69.25" customHeight="1">
      <c r="A9" s="1" t="s">
        <v>9</v>
      </c>
      <c r="B9" s="1" t="s">
        <v>5</v>
      </c>
      <c r="C9" s="1">
        <v>2022</v>
      </c>
      <c r="D9" s="1" t="s">
        <v>8</v>
      </c>
      <c r="E9" s="1" t="s">
        <v>98</v>
      </c>
      <c r="F9" s="1" t="s">
        <v>99</v>
      </c>
      <c r="G9" s="1">
        <v>1</v>
      </c>
      <c r="H9" s="1" t="s">
        <v>429</v>
      </c>
      <c r="I9" s="1" t="s">
        <v>449</v>
      </c>
      <c r="J9" s="1" t="s">
        <v>431</v>
      </c>
      <c r="K9" s="1" t="s">
        <v>450</v>
      </c>
      <c r="L9" s="1" t="s">
        <v>118</v>
      </c>
      <c r="M9" s="1" t="s">
        <v>51</v>
      </c>
      <c r="N9" s="1"/>
      <c r="O9" s="1">
        <f t="shared" si="0"/>
        <v>1</v>
      </c>
      <c r="P9" s="1" t="s">
        <v>451</v>
      </c>
    </row>
    <row r="10" spans="1:16" ht="69.25" customHeight="1">
      <c r="A10" s="1" t="s">
        <v>9</v>
      </c>
      <c r="B10" s="1" t="s">
        <v>5</v>
      </c>
      <c r="C10" s="1">
        <v>2022</v>
      </c>
      <c r="D10" s="1" t="s">
        <v>8</v>
      </c>
      <c r="E10" s="1" t="s">
        <v>102</v>
      </c>
      <c r="F10" s="1" t="s">
        <v>103</v>
      </c>
      <c r="G10" s="1">
        <v>0</v>
      </c>
      <c r="H10" s="1" t="s">
        <v>434</v>
      </c>
      <c r="I10" s="1" t="s">
        <v>435</v>
      </c>
      <c r="J10" s="1" t="s">
        <v>431</v>
      </c>
      <c r="K10" s="1" t="s">
        <v>436</v>
      </c>
      <c r="L10" s="1" t="s">
        <v>118</v>
      </c>
      <c r="M10" s="1" t="s">
        <v>51</v>
      </c>
      <c r="N10" s="1"/>
      <c r="O10" s="1">
        <f t="shared" si="0"/>
        <v>0</v>
      </c>
      <c r="P10" s="1" t="s">
        <v>452</v>
      </c>
    </row>
    <row r="11" spans="1:16" ht="69.25" customHeight="1">
      <c r="A11" s="1" t="s">
        <v>9</v>
      </c>
      <c r="B11" s="1" t="s">
        <v>5</v>
      </c>
      <c r="C11" s="1">
        <v>2022</v>
      </c>
      <c r="D11" s="1" t="s">
        <v>8</v>
      </c>
      <c r="E11" s="1" t="s">
        <v>106</v>
      </c>
      <c r="F11" s="1" t="s">
        <v>107</v>
      </c>
      <c r="G11" s="1">
        <v>0</v>
      </c>
      <c r="H11" s="1" t="s">
        <v>434</v>
      </c>
      <c r="I11" s="1" t="s">
        <v>453</v>
      </c>
      <c r="J11" s="1" t="s">
        <v>431</v>
      </c>
      <c r="K11" s="1" t="s">
        <v>450</v>
      </c>
      <c r="L11" s="1" t="s">
        <v>118</v>
      </c>
      <c r="M11" s="1" t="s">
        <v>51</v>
      </c>
      <c r="N11" s="1"/>
      <c r="O11" s="1">
        <f t="shared" si="0"/>
        <v>0</v>
      </c>
      <c r="P11" s="1" t="s">
        <v>454</v>
      </c>
    </row>
    <row r="12" spans="1:16" ht="69.25" customHeight="1">
      <c r="A12" s="1" t="s">
        <v>9</v>
      </c>
      <c r="B12" s="1" t="s">
        <v>5</v>
      </c>
      <c r="C12" s="1">
        <v>2023</v>
      </c>
      <c r="D12" s="1" t="s">
        <v>8</v>
      </c>
      <c r="E12" s="1" t="s">
        <v>70</v>
      </c>
      <c r="F12" s="1" t="s">
        <v>71</v>
      </c>
      <c r="G12" s="1">
        <v>0</v>
      </c>
      <c r="H12" s="1" t="s">
        <v>445</v>
      </c>
      <c r="I12" s="1" t="s">
        <v>455</v>
      </c>
      <c r="J12" s="1" t="s">
        <v>456</v>
      </c>
      <c r="K12" s="1" t="s">
        <v>457</v>
      </c>
      <c r="L12" s="1" t="s">
        <v>118</v>
      </c>
      <c r="M12" s="1" t="s">
        <v>51</v>
      </c>
      <c r="N12" s="1"/>
      <c r="O12" s="1">
        <f t="shared" si="0"/>
        <v>0</v>
      </c>
      <c r="P12" s="1" t="s">
        <v>448</v>
      </c>
    </row>
    <row r="13" spans="1:16" ht="69.25" customHeight="1">
      <c r="A13" s="1" t="s">
        <v>9</v>
      </c>
      <c r="B13" s="1" t="s">
        <v>5</v>
      </c>
      <c r="C13" s="1">
        <v>2023</v>
      </c>
      <c r="D13" s="1" t="s">
        <v>8</v>
      </c>
      <c r="E13" s="1" t="s">
        <v>74</v>
      </c>
      <c r="F13" s="1" t="s">
        <v>75</v>
      </c>
      <c r="G13" s="1">
        <v>1</v>
      </c>
      <c r="H13" s="1" t="s">
        <v>429</v>
      </c>
      <c r="I13" s="1" t="s">
        <v>458</v>
      </c>
      <c r="J13" s="1" t="s">
        <v>456</v>
      </c>
      <c r="K13" s="1" t="s">
        <v>459</v>
      </c>
      <c r="L13" s="1" t="s">
        <v>118</v>
      </c>
      <c r="M13" s="1" t="s">
        <v>51</v>
      </c>
      <c r="N13" s="1"/>
      <c r="O13" s="1">
        <f t="shared" si="0"/>
        <v>1</v>
      </c>
      <c r="P13" s="1" t="s">
        <v>460</v>
      </c>
    </row>
    <row r="14" spans="1:16" ht="69.25" customHeight="1">
      <c r="A14" s="1" t="s">
        <v>9</v>
      </c>
      <c r="B14" s="1" t="s">
        <v>5</v>
      </c>
      <c r="C14" s="1">
        <v>2023</v>
      </c>
      <c r="D14" s="1" t="s">
        <v>8</v>
      </c>
      <c r="E14" s="1" t="s">
        <v>78</v>
      </c>
      <c r="F14" s="1" t="s">
        <v>79</v>
      </c>
      <c r="G14" s="1">
        <v>0</v>
      </c>
      <c r="H14" s="1" t="s">
        <v>434</v>
      </c>
      <c r="I14" s="1" t="s">
        <v>461</v>
      </c>
      <c r="J14" s="1" t="s">
        <v>456</v>
      </c>
      <c r="K14" s="1" t="s">
        <v>462</v>
      </c>
      <c r="L14" s="1" t="s">
        <v>118</v>
      </c>
      <c r="M14" s="1" t="s">
        <v>51</v>
      </c>
      <c r="N14" s="1"/>
      <c r="O14" s="1">
        <f t="shared" si="0"/>
        <v>0</v>
      </c>
      <c r="P14" s="1" t="s">
        <v>439</v>
      </c>
    </row>
    <row r="15" spans="1:16" ht="69.25" customHeight="1">
      <c r="A15" s="1" t="s">
        <v>9</v>
      </c>
      <c r="B15" s="1" t="s">
        <v>5</v>
      </c>
      <c r="C15" s="1">
        <v>2023</v>
      </c>
      <c r="D15" s="1" t="s">
        <v>8</v>
      </c>
      <c r="E15" s="1" t="s">
        <v>82</v>
      </c>
      <c r="F15" s="1" t="s">
        <v>83</v>
      </c>
      <c r="G15" s="1">
        <v>1</v>
      </c>
      <c r="H15" s="1" t="s">
        <v>429</v>
      </c>
      <c r="I15" s="1" t="s">
        <v>463</v>
      </c>
      <c r="J15" s="1" t="s">
        <v>456</v>
      </c>
      <c r="K15" s="1" t="s">
        <v>464</v>
      </c>
      <c r="L15" s="1" t="s">
        <v>118</v>
      </c>
      <c r="M15" s="1" t="s">
        <v>51</v>
      </c>
      <c r="N15" s="1"/>
      <c r="O15" s="1">
        <f t="shared" si="0"/>
        <v>1</v>
      </c>
      <c r="P15" s="1" t="s">
        <v>465</v>
      </c>
    </row>
    <row r="16" spans="1:16" ht="69.25" customHeight="1">
      <c r="A16" s="1" t="s">
        <v>9</v>
      </c>
      <c r="B16" s="1" t="s">
        <v>5</v>
      </c>
      <c r="C16" s="1">
        <v>2023</v>
      </c>
      <c r="D16" s="1" t="s">
        <v>8</v>
      </c>
      <c r="E16" s="1" t="s">
        <v>86</v>
      </c>
      <c r="F16" s="1" t="s">
        <v>87</v>
      </c>
      <c r="G16" s="1">
        <v>1</v>
      </c>
      <c r="H16" s="1" t="s">
        <v>429</v>
      </c>
      <c r="I16" s="1" t="s">
        <v>466</v>
      </c>
      <c r="J16" s="1" t="s">
        <v>456</v>
      </c>
      <c r="K16" s="1" t="s">
        <v>464</v>
      </c>
      <c r="L16" s="1" t="s">
        <v>118</v>
      </c>
      <c r="M16" s="1" t="s">
        <v>51</v>
      </c>
      <c r="N16" s="1"/>
      <c r="O16" s="1">
        <f t="shared" si="0"/>
        <v>1</v>
      </c>
      <c r="P16" s="1" t="s">
        <v>467</v>
      </c>
    </row>
    <row r="17" spans="1:16" ht="69.25" customHeight="1">
      <c r="A17" s="1" t="s">
        <v>9</v>
      </c>
      <c r="B17" s="1" t="s">
        <v>5</v>
      </c>
      <c r="C17" s="1">
        <v>2023</v>
      </c>
      <c r="D17" s="1" t="s">
        <v>8</v>
      </c>
      <c r="E17" s="1" t="s">
        <v>90</v>
      </c>
      <c r="F17" s="1" t="s">
        <v>91</v>
      </c>
      <c r="G17" s="1">
        <v>0</v>
      </c>
      <c r="H17" s="1" t="s">
        <v>445</v>
      </c>
      <c r="I17" s="1" t="s">
        <v>463</v>
      </c>
      <c r="J17" s="1" t="s">
        <v>456</v>
      </c>
      <c r="K17" s="1" t="s">
        <v>464</v>
      </c>
      <c r="L17" s="1" t="s">
        <v>118</v>
      </c>
      <c r="M17" s="1" t="s">
        <v>51</v>
      </c>
      <c r="N17" s="1"/>
      <c r="O17" s="1">
        <f t="shared" si="0"/>
        <v>0</v>
      </c>
      <c r="P17" s="1" t="s">
        <v>448</v>
      </c>
    </row>
    <row r="18" spans="1:16" ht="69.25" customHeight="1">
      <c r="A18" s="1" t="s">
        <v>9</v>
      </c>
      <c r="B18" s="1" t="s">
        <v>5</v>
      </c>
      <c r="C18" s="1">
        <v>2023</v>
      </c>
      <c r="D18" s="1" t="s">
        <v>8</v>
      </c>
      <c r="E18" s="1" t="s">
        <v>94</v>
      </c>
      <c r="F18" s="1" t="s">
        <v>95</v>
      </c>
      <c r="G18" s="1">
        <v>0</v>
      </c>
      <c r="H18" s="1" t="s">
        <v>445</v>
      </c>
      <c r="I18" s="1" t="s">
        <v>468</v>
      </c>
      <c r="J18" s="1" t="s">
        <v>456</v>
      </c>
      <c r="K18" s="1" t="s">
        <v>469</v>
      </c>
      <c r="L18" s="1" t="s">
        <v>118</v>
      </c>
      <c r="M18" s="1" t="s">
        <v>51</v>
      </c>
      <c r="N18" s="1"/>
      <c r="O18" s="1">
        <f t="shared" si="0"/>
        <v>0</v>
      </c>
      <c r="P18" s="1" t="s">
        <v>448</v>
      </c>
    </row>
    <row r="19" spans="1:16" ht="69.25" customHeight="1">
      <c r="A19" s="1" t="s">
        <v>9</v>
      </c>
      <c r="B19" s="1" t="s">
        <v>5</v>
      </c>
      <c r="C19" s="1">
        <v>2023</v>
      </c>
      <c r="D19" s="1" t="s">
        <v>8</v>
      </c>
      <c r="E19" s="1" t="s">
        <v>98</v>
      </c>
      <c r="F19" s="1" t="s">
        <v>99</v>
      </c>
      <c r="G19" s="1">
        <v>0</v>
      </c>
      <c r="H19" s="1" t="s">
        <v>434</v>
      </c>
      <c r="I19" s="1" t="s">
        <v>470</v>
      </c>
      <c r="J19" s="1" t="s">
        <v>456</v>
      </c>
      <c r="K19" s="1" t="s">
        <v>471</v>
      </c>
      <c r="L19" s="1" t="s">
        <v>118</v>
      </c>
      <c r="M19" s="1" t="s">
        <v>51</v>
      </c>
      <c r="N19" s="1"/>
      <c r="O19" s="1">
        <f t="shared" si="0"/>
        <v>0</v>
      </c>
      <c r="P19" s="1" t="s">
        <v>472</v>
      </c>
    </row>
    <row r="20" spans="1:16" ht="69.25" customHeight="1">
      <c r="A20" s="1" t="s">
        <v>9</v>
      </c>
      <c r="B20" s="1" t="s">
        <v>5</v>
      </c>
      <c r="C20" s="1">
        <v>2023</v>
      </c>
      <c r="D20" s="1" t="s">
        <v>8</v>
      </c>
      <c r="E20" s="1" t="s">
        <v>102</v>
      </c>
      <c r="F20" s="1" t="s">
        <v>103</v>
      </c>
      <c r="G20" s="1">
        <v>1</v>
      </c>
      <c r="H20" s="1" t="s">
        <v>429</v>
      </c>
      <c r="I20" s="1" t="s">
        <v>473</v>
      </c>
      <c r="J20" s="1" t="s">
        <v>456</v>
      </c>
      <c r="K20" s="1" t="s">
        <v>474</v>
      </c>
      <c r="L20" s="1" t="s">
        <v>118</v>
      </c>
      <c r="M20" s="1" t="s">
        <v>51</v>
      </c>
      <c r="N20" s="1"/>
      <c r="O20" s="1">
        <f t="shared" si="0"/>
        <v>1</v>
      </c>
      <c r="P20" s="1" t="s">
        <v>475</v>
      </c>
    </row>
    <row r="21" spans="1:16" ht="69.25" customHeight="1">
      <c r="A21" s="1" t="s">
        <v>9</v>
      </c>
      <c r="B21" s="1" t="s">
        <v>5</v>
      </c>
      <c r="C21" s="1">
        <v>2023</v>
      </c>
      <c r="D21" s="1" t="s">
        <v>8</v>
      </c>
      <c r="E21" s="1" t="s">
        <v>106</v>
      </c>
      <c r="F21" s="1" t="s">
        <v>107</v>
      </c>
      <c r="G21" s="1">
        <v>0</v>
      </c>
      <c r="H21" s="1" t="s">
        <v>445</v>
      </c>
      <c r="I21" s="1" t="s">
        <v>476</v>
      </c>
      <c r="J21" s="1" t="s">
        <v>456</v>
      </c>
      <c r="K21" s="1" t="s">
        <v>477</v>
      </c>
      <c r="L21" s="1" t="s">
        <v>118</v>
      </c>
      <c r="M21" s="1" t="s">
        <v>51</v>
      </c>
      <c r="N21" s="1"/>
      <c r="O21" s="1">
        <f t="shared" si="0"/>
        <v>0</v>
      </c>
      <c r="P21" s="1" t="s">
        <v>448</v>
      </c>
    </row>
    <row r="22" spans="1:16" ht="69.25" customHeight="1">
      <c r="A22" s="1" t="s">
        <v>9</v>
      </c>
      <c r="B22" s="1" t="s">
        <v>5</v>
      </c>
      <c r="C22" s="1">
        <v>2024</v>
      </c>
      <c r="D22" s="1" t="s">
        <v>8</v>
      </c>
      <c r="E22" s="1" t="s">
        <v>70</v>
      </c>
      <c r="F22" s="1" t="s">
        <v>71</v>
      </c>
      <c r="G22" s="1">
        <v>1</v>
      </c>
      <c r="H22" s="1" t="s">
        <v>478</v>
      </c>
      <c r="I22" s="1" t="s">
        <v>479</v>
      </c>
      <c r="J22" s="1" t="s">
        <v>480</v>
      </c>
      <c r="K22" s="1" t="s">
        <v>481</v>
      </c>
      <c r="L22" s="1" t="s">
        <v>482</v>
      </c>
      <c r="M22" s="1" t="s">
        <v>51</v>
      </c>
      <c r="N22" s="1"/>
      <c r="O22" s="1">
        <f t="shared" si="0"/>
        <v>1</v>
      </c>
      <c r="P22" s="1" t="s">
        <v>483</v>
      </c>
    </row>
    <row r="23" spans="1:16" ht="69.25" customHeight="1">
      <c r="A23" s="1" t="s">
        <v>9</v>
      </c>
      <c r="B23" s="1" t="s">
        <v>5</v>
      </c>
      <c r="C23" s="1">
        <v>2024</v>
      </c>
      <c r="D23" s="1" t="s">
        <v>8</v>
      </c>
      <c r="E23" s="1" t="s">
        <v>74</v>
      </c>
      <c r="F23" s="1" t="s">
        <v>75</v>
      </c>
      <c r="G23" s="1">
        <v>1</v>
      </c>
      <c r="H23" s="1" t="s">
        <v>478</v>
      </c>
      <c r="I23" s="1" t="s">
        <v>484</v>
      </c>
      <c r="J23" s="1" t="s">
        <v>480</v>
      </c>
      <c r="K23" s="1" t="s">
        <v>481</v>
      </c>
      <c r="L23" s="1" t="s">
        <v>482</v>
      </c>
      <c r="M23" s="1" t="s">
        <v>51</v>
      </c>
      <c r="N23" s="1"/>
      <c r="O23" s="1">
        <f t="shared" si="0"/>
        <v>1</v>
      </c>
      <c r="P23" s="1" t="s">
        <v>485</v>
      </c>
    </row>
    <row r="24" spans="1:16" ht="69.25" customHeight="1">
      <c r="A24" s="1" t="s">
        <v>9</v>
      </c>
      <c r="B24" s="1" t="s">
        <v>5</v>
      </c>
      <c r="C24" s="1">
        <v>2024</v>
      </c>
      <c r="D24" s="1" t="s">
        <v>8</v>
      </c>
      <c r="E24" s="1" t="s">
        <v>78</v>
      </c>
      <c r="F24" s="1" t="s">
        <v>79</v>
      </c>
      <c r="G24" s="1">
        <v>0</v>
      </c>
      <c r="H24" s="1" t="s">
        <v>486</v>
      </c>
      <c r="I24" s="1" t="s">
        <v>487</v>
      </c>
      <c r="J24" s="1" t="s">
        <v>488</v>
      </c>
      <c r="K24" s="1" t="s">
        <v>489</v>
      </c>
      <c r="L24" s="1" t="s">
        <v>490</v>
      </c>
      <c r="M24" s="1" t="s">
        <v>51</v>
      </c>
      <c r="N24" s="1"/>
      <c r="O24" s="1">
        <f t="shared" si="0"/>
        <v>0</v>
      </c>
      <c r="P24" s="1" t="s">
        <v>491</v>
      </c>
    </row>
    <row r="25" spans="1:16" ht="69.25" customHeight="1">
      <c r="A25" s="1" t="s">
        <v>9</v>
      </c>
      <c r="B25" s="1" t="s">
        <v>5</v>
      </c>
      <c r="C25" s="1">
        <v>2024</v>
      </c>
      <c r="D25" s="1" t="s">
        <v>8</v>
      </c>
      <c r="E25" s="1" t="s">
        <v>82</v>
      </c>
      <c r="F25" s="1" t="s">
        <v>83</v>
      </c>
      <c r="G25" s="1">
        <v>1</v>
      </c>
      <c r="H25" s="1" t="s">
        <v>478</v>
      </c>
      <c r="I25" s="1" t="s">
        <v>492</v>
      </c>
      <c r="J25" s="1" t="s">
        <v>480</v>
      </c>
      <c r="K25" s="1" t="s">
        <v>493</v>
      </c>
      <c r="L25" s="1" t="s">
        <v>482</v>
      </c>
      <c r="M25" s="1" t="s">
        <v>51</v>
      </c>
      <c r="N25" s="1"/>
      <c r="O25" s="1">
        <f t="shared" si="0"/>
        <v>1</v>
      </c>
      <c r="P25" s="1" t="s">
        <v>494</v>
      </c>
    </row>
    <row r="26" spans="1:16" ht="69.25" customHeight="1">
      <c r="A26" s="1" t="s">
        <v>9</v>
      </c>
      <c r="B26" s="1" t="s">
        <v>5</v>
      </c>
      <c r="C26" s="1">
        <v>2024</v>
      </c>
      <c r="D26" s="1" t="s">
        <v>8</v>
      </c>
      <c r="E26" s="1" t="s">
        <v>86</v>
      </c>
      <c r="F26" s="1" t="s">
        <v>87</v>
      </c>
      <c r="G26" s="1">
        <v>1</v>
      </c>
      <c r="H26" s="1" t="s">
        <v>478</v>
      </c>
      <c r="I26" s="1" t="s">
        <v>495</v>
      </c>
      <c r="J26" s="1" t="s">
        <v>480</v>
      </c>
      <c r="K26" s="1" t="s">
        <v>496</v>
      </c>
      <c r="L26" s="1" t="s">
        <v>482</v>
      </c>
      <c r="M26" s="1" t="s">
        <v>51</v>
      </c>
      <c r="N26" s="1"/>
      <c r="O26" s="1">
        <f t="shared" si="0"/>
        <v>1</v>
      </c>
      <c r="P26" s="1" t="s">
        <v>497</v>
      </c>
    </row>
    <row r="27" spans="1:16" ht="69.25" customHeight="1">
      <c r="A27" s="1" t="s">
        <v>9</v>
      </c>
      <c r="B27" s="1" t="s">
        <v>5</v>
      </c>
      <c r="C27" s="1">
        <v>2024</v>
      </c>
      <c r="D27" s="1" t="s">
        <v>8</v>
      </c>
      <c r="E27" s="1" t="s">
        <v>90</v>
      </c>
      <c r="F27" s="1" t="s">
        <v>91</v>
      </c>
      <c r="G27" s="1">
        <v>1</v>
      </c>
      <c r="H27" s="1" t="s">
        <v>478</v>
      </c>
      <c r="I27" s="1" t="s">
        <v>498</v>
      </c>
      <c r="J27" s="1" t="s">
        <v>480</v>
      </c>
      <c r="K27" s="1" t="s">
        <v>496</v>
      </c>
      <c r="L27" s="1" t="s">
        <v>482</v>
      </c>
      <c r="M27" s="1" t="s">
        <v>51</v>
      </c>
      <c r="N27" s="1"/>
      <c r="O27" s="1">
        <f t="shared" si="0"/>
        <v>1</v>
      </c>
      <c r="P27" s="1" t="s">
        <v>499</v>
      </c>
    </row>
    <row r="28" spans="1:16" ht="69.25" customHeight="1">
      <c r="A28" s="1" t="s">
        <v>9</v>
      </c>
      <c r="B28" s="1" t="s">
        <v>5</v>
      </c>
      <c r="C28" s="1">
        <v>2024</v>
      </c>
      <c r="D28" s="1" t="s">
        <v>8</v>
      </c>
      <c r="E28" s="1" t="s">
        <v>94</v>
      </c>
      <c r="F28" s="1" t="s">
        <v>95</v>
      </c>
      <c r="G28" s="1">
        <v>1</v>
      </c>
      <c r="H28" s="1" t="s">
        <v>478</v>
      </c>
      <c r="I28" s="1" t="s">
        <v>500</v>
      </c>
      <c r="J28" s="1" t="s">
        <v>480</v>
      </c>
      <c r="K28" s="1" t="s">
        <v>501</v>
      </c>
      <c r="L28" s="1" t="s">
        <v>482</v>
      </c>
      <c r="M28" s="1" t="s">
        <v>51</v>
      </c>
      <c r="N28" s="1"/>
      <c r="O28" s="1">
        <f t="shared" si="0"/>
        <v>1</v>
      </c>
      <c r="P28" s="1" t="s">
        <v>502</v>
      </c>
    </row>
    <row r="29" spans="1:16" ht="69.25" customHeight="1">
      <c r="A29" s="1" t="s">
        <v>9</v>
      </c>
      <c r="B29" s="1" t="s">
        <v>5</v>
      </c>
      <c r="C29" s="1">
        <v>2024</v>
      </c>
      <c r="D29" s="1" t="s">
        <v>8</v>
      </c>
      <c r="E29" s="1" t="s">
        <v>98</v>
      </c>
      <c r="F29" s="1" t="s">
        <v>99</v>
      </c>
      <c r="G29" s="1">
        <v>1</v>
      </c>
      <c r="H29" s="1" t="s">
        <v>478</v>
      </c>
      <c r="I29" s="1" t="s">
        <v>503</v>
      </c>
      <c r="J29" s="1" t="s">
        <v>480</v>
      </c>
      <c r="K29" s="1" t="s">
        <v>504</v>
      </c>
      <c r="L29" s="1" t="s">
        <v>482</v>
      </c>
      <c r="M29" s="1" t="s">
        <v>51</v>
      </c>
      <c r="N29" s="1"/>
      <c r="O29" s="1">
        <f t="shared" si="0"/>
        <v>1</v>
      </c>
      <c r="P29" s="1" t="s">
        <v>505</v>
      </c>
    </row>
    <row r="30" spans="1:16" ht="69.25" customHeight="1">
      <c r="A30" s="1" t="s">
        <v>9</v>
      </c>
      <c r="B30" s="1" t="s">
        <v>5</v>
      </c>
      <c r="C30" s="1">
        <v>2024</v>
      </c>
      <c r="D30" s="1" t="s">
        <v>8</v>
      </c>
      <c r="E30" s="1" t="s">
        <v>102</v>
      </c>
      <c r="F30" s="1" t="s">
        <v>103</v>
      </c>
      <c r="G30" s="1">
        <v>1</v>
      </c>
      <c r="H30" s="1" t="s">
        <v>478</v>
      </c>
      <c r="I30" s="1" t="s">
        <v>506</v>
      </c>
      <c r="J30" s="1" t="s">
        <v>480</v>
      </c>
      <c r="K30" s="1" t="s">
        <v>507</v>
      </c>
      <c r="L30" s="1" t="s">
        <v>482</v>
      </c>
      <c r="M30" s="1" t="s">
        <v>51</v>
      </c>
      <c r="N30" s="1"/>
      <c r="O30" s="1">
        <f t="shared" si="0"/>
        <v>1</v>
      </c>
      <c r="P30" s="1" t="s">
        <v>508</v>
      </c>
    </row>
    <row r="31" spans="1:16" ht="69.25" customHeight="1">
      <c r="A31" s="1" t="s">
        <v>9</v>
      </c>
      <c r="B31" s="1" t="s">
        <v>5</v>
      </c>
      <c r="C31" s="1">
        <v>2024</v>
      </c>
      <c r="D31" s="1" t="s">
        <v>8</v>
      </c>
      <c r="E31" s="1" t="s">
        <v>106</v>
      </c>
      <c r="F31" s="1" t="s">
        <v>107</v>
      </c>
      <c r="G31" s="1">
        <v>0</v>
      </c>
      <c r="H31" s="1" t="s">
        <v>509</v>
      </c>
      <c r="I31" s="1" t="s">
        <v>510</v>
      </c>
      <c r="J31" s="1" t="s">
        <v>511</v>
      </c>
      <c r="K31" s="1" t="s">
        <v>512</v>
      </c>
      <c r="L31" s="1" t="s">
        <v>118</v>
      </c>
      <c r="M31" s="1" t="s">
        <v>51</v>
      </c>
      <c r="N31" s="1"/>
      <c r="O31" s="1">
        <f t="shared" si="0"/>
        <v>0</v>
      </c>
      <c r="P31" s="1" t="s">
        <v>513</v>
      </c>
    </row>
    <row r="32" spans="1:16" ht="69.25" customHeight="1">
      <c r="A32" s="1" t="s">
        <v>9</v>
      </c>
      <c r="B32" s="1" t="s">
        <v>5</v>
      </c>
      <c r="C32" s="1">
        <v>2025</v>
      </c>
      <c r="D32" s="1" t="s">
        <v>8</v>
      </c>
      <c r="E32" s="1" t="s">
        <v>70</v>
      </c>
      <c r="F32" s="1" t="s">
        <v>71</v>
      </c>
      <c r="G32" s="1">
        <v>0</v>
      </c>
      <c r="H32" s="1" t="s">
        <v>445</v>
      </c>
      <c r="I32" s="1" t="s">
        <v>514</v>
      </c>
      <c r="J32" s="1" t="s">
        <v>515</v>
      </c>
      <c r="K32" s="1" t="s">
        <v>516</v>
      </c>
      <c r="L32" s="1" t="s">
        <v>118</v>
      </c>
      <c r="M32" s="1" t="s">
        <v>51</v>
      </c>
      <c r="N32" s="1"/>
      <c r="O32" s="1">
        <f t="shared" si="0"/>
        <v>0</v>
      </c>
      <c r="P32" s="1" t="s">
        <v>448</v>
      </c>
    </row>
    <row r="33" spans="1:16" ht="69.25" customHeight="1">
      <c r="A33" s="1" t="s">
        <v>9</v>
      </c>
      <c r="B33" s="1" t="s">
        <v>5</v>
      </c>
      <c r="C33" s="1">
        <v>2025</v>
      </c>
      <c r="D33" s="1" t="s">
        <v>8</v>
      </c>
      <c r="E33" s="1" t="s">
        <v>74</v>
      </c>
      <c r="F33" s="1" t="s">
        <v>75</v>
      </c>
      <c r="G33" s="1">
        <v>0</v>
      </c>
      <c r="H33" s="1" t="s">
        <v>434</v>
      </c>
      <c r="I33" s="1" t="s">
        <v>517</v>
      </c>
      <c r="J33" s="1" t="s">
        <v>515</v>
      </c>
      <c r="K33" s="1" t="s">
        <v>518</v>
      </c>
      <c r="L33" s="1" t="s">
        <v>118</v>
      </c>
      <c r="M33" s="1" t="s">
        <v>51</v>
      </c>
      <c r="N33" s="1"/>
      <c r="O33" s="1">
        <f t="shared" si="0"/>
        <v>0</v>
      </c>
      <c r="P33" s="1" t="s">
        <v>437</v>
      </c>
    </row>
    <row r="34" spans="1:16" ht="69.25" customHeight="1">
      <c r="A34" s="1" t="s">
        <v>9</v>
      </c>
      <c r="B34" s="1" t="s">
        <v>5</v>
      </c>
      <c r="C34" s="1">
        <v>2025</v>
      </c>
      <c r="D34" s="1" t="s">
        <v>8</v>
      </c>
      <c r="E34" s="1" t="s">
        <v>78</v>
      </c>
      <c r="F34" s="1" t="s">
        <v>79</v>
      </c>
      <c r="G34" s="1">
        <v>0</v>
      </c>
      <c r="H34" s="1" t="s">
        <v>434</v>
      </c>
      <c r="I34" s="1" t="s">
        <v>519</v>
      </c>
      <c r="J34" s="1" t="s">
        <v>515</v>
      </c>
      <c r="K34" s="1" t="s">
        <v>520</v>
      </c>
      <c r="L34" s="1" t="s">
        <v>118</v>
      </c>
      <c r="M34" s="1" t="s">
        <v>51</v>
      </c>
      <c r="N34" s="1"/>
      <c r="O34" s="1">
        <f t="shared" si="0"/>
        <v>0</v>
      </c>
      <c r="P34" s="1" t="s">
        <v>439</v>
      </c>
    </row>
    <row r="35" spans="1:16" ht="69.25" customHeight="1">
      <c r="A35" s="1" t="s">
        <v>9</v>
      </c>
      <c r="B35" s="1" t="s">
        <v>5</v>
      </c>
      <c r="C35" s="1">
        <v>2025</v>
      </c>
      <c r="D35" s="1" t="s">
        <v>8</v>
      </c>
      <c r="E35" s="1" t="s">
        <v>82</v>
      </c>
      <c r="F35" s="1" t="s">
        <v>83</v>
      </c>
      <c r="G35" s="1">
        <v>1</v>
      </c>
      <c r="H35" s="1" t="s">
        <v>429</v>
      </c>
      <c r="I35" s="1" t="s">
        <v>521</v>
      </c>
      <c r="J35" s="1" t="s">
        <v>515</v>
      </c>
      <c r="K35" s="1" t="s">
        <v>522</v>
      </c>
      <c r="L35" s="1" t="s">
        <v>118</v>
      </c>
      <c r="M35" s="1" t="s">
        <v>51</v>
      </c>
      <c r="N35" s="1"/>
      <c r="O35" s="1">
        <f t="shared" si="0"/>
        <v>1</v>
      </c>
      <c r="P35" s="1" t="s">
        <v>465</v>
      </c>
    </row>
    <row r="36" spans="1:16" ht="69.25" customHeight="1">
      <c r="A36" s="1" t="s">
        <v>9</v>
      </c>
      <c r="B36" s="1" t="s">
        <v>5</v>
      </c>
      <c r="C36" s="1">
        <v>2025</v>
      </c>
      <c r="D36" s="1" t="s">
        <v>8</v>
      </c>
      <c r="E36" s="1" t="s">
        <v>86</v>
      </c>
      <c r="F36" s="1" t="s">
        <v>87</v>
      </c>
      <c r="G36" s="1">
        <v>1</v>
      </c>
      <c r="H36" s="1" t="s">
        <v>429</v>
      </c>
      <c r="I36" s="1" t="s">
        <v>523</v>
      </c>
      <c r="J36" s="1" t="s">
        <v>515</v>
      </c>
      <c r="K36" s="1" t="s">
        <v>524</v>
      </c>
      <c r="L36" s="1" t="s">
        <v>118</v>
      </c>
      <c r="M36" s="1" t="s">
        <v>51</v>
      </c>
      <c r="N36" s="1"/>
      <c r="O36" s="1">
        <f t="shared" si="0"/>
        <v>1</v>
      </c>
      <c r="P36" s="1" t="s">
        <v>467</v>
      </c>
    </row>
    <row r="37" spans="1:16" ht="69.25" customHeight="1">
      <c r="A37" s="1" t="s">
        <v>9</v>
      </c>
      <c r="B37" s="1" t="s">
        <v>5</v>
      </c>
      <c r="C37" s="1">
        <v>2025</v>
      </c>
      <c r="D37" s="1" t="s">
        <v>8</v>
      </c>
      <c r="E37" s="1" t="s">
        <v>90</v>
      </c>
      <c r="F37" s="1" t="s">
        <v>91</v>
      </c>
      <c r="G37" s="1">
        <v>1</v>
      </c>
      <c r="H37" s="1" t="s">
        <v>429</v>
      </c>
      <c r="I37" s="1" t="s">
        <v>525</v>
      </c>
      <c r="J37" s="1" t="s">
        <v>515</v>
      </c>
      <c r="K37" s="1" t="s">
        <v>524</v>
      </c>
      <c r="L37" s="1" t="s">
        <v>118</v>
      </c>
      <c r="M37" s="1" t="s">
        <v>51</v>
      </c>
      <c r="N37" s="1"/>
      <c r="O37" s="1">
        <f t="shared" si="0"/>
        <v>1</v>
      </c>
      <c r="P37" s="1" t="s">
        <v>526</v>
      </c>
    </row>
    <row r="38" spans="1:16" ht="69.25" customHeight="1">
      <c r="A38" s="1" t="s">
        <v>9</v>
      </c>
      <c r="B38" s="1" t="s">
        <v>5</v>
      </c>
      <c r="C38" s="1">
        <v>2025</v>
      </c>
      <c r="D38" s="1" t="s">
        <v>8</v>
      </c>
      <c r="E38" s="1" t="s">
        <v>94</v>
      </c>
      <c r="F38" s="1" t="s">
        <v>95</v>
      </c>
      <c r="G38" s="1">
        <v>0</v>
      </c>
      <c r="H38" s="1" t="s">
        <v>445</v>
      </c>
      <c r="I38" s="1" t="s">
        <v>527</v>
      </c>
      <c r="J38" s="1" t="s">
        <v>515</v>
      </c>
      <c r="K38" s="1" t="s">
        <v>528</v>
      </c>
      <c r="L38" s="1" t="s">
        <v>118</v>
      </c>
      <c r="M38" s="1" t="s">
        <v>51</v>
      </c>
      <c r="N38" s="1"/>
      <c r="O38" s="1">
        <f t="shared" si="0"/>
        <v>0</v>
      </c>
      <c r="P38" s="1" t="s">
        <v>448</v>
      </c>
    </row>
    <row r="39" spans="1:16" ht="69.25" customHeight="1">
      <c r="A39" s="1" t="s">
        <v>9</v>
      </c>
      <c r="B39" s="1" t="s">
        <v>5</v>
      </c>
      <c r="C39" s="1">
        <v>2025</v>
      </c>
      <c r="D39" s="1" t="s">
        <v>8</v>
      </c>
      <c r="E39" s="1" t="s">
        <v>98</v>
      </c>
      <c r="F39" s="1" t="s">
        <v>99</v>
      </c>
      <c r="G39" s="1">
        <v>1</v>
      </c>
      <c r="H39" s="1" t="s">
        <v>429</v>
      </c>
      <c r="I39" s="1" t="s">
        <v>529</v>
      </c>
      <c r="J39" s="1" t="s">
        <v>515</v>
      </c>
      <c r="K39" s="1" t="s">
        <v>530</v>
      </c>
      <c r="L39" s="1" t="s">
        <v>118</v>
      </c>
      <c r="M39" s="1" t="s">
        <v>51</v>
      </c>
      <c r="N39" s="1"/>
      <c r="O39" s="1">
        <f t="shared" si="0"/>
        <v>1</v>
      </c>
      <c r="P39" s="1" t="s">
        <v>451</v>
      </c>
    </row>
    <row r="40" spans="1:16" ht="69.25" customHeight="1">
      <c r="A40" s="1" t="s">
        <v>9</v>
      </c>
      <c r="B40" s="1" t="s">
        <v>5</v>
      </c>
      <c r="C40" s="1">
        <v>2025</v>
      </c>
      <c r="D40" s="1" t="s">
        <v>8</v>
      </c>
      <c r="E40" s="1" t="s">
        <v>102</v>
      </c>
      <c r="F40" s="1" t="s">
        <v>103</v>
      </c>
      <c r="G40" s="1">
        <v>1</v>
      </c>
      <c r="H40" s="1" t="s">
        <v>429</v>
      </c>
      <c r="I40" s="1" t="s">
        <v>531</v>
      </c>
      <c r="J40" s="1" t="s">
        <v>515</v>
      </c>
      <c r="K40" s="1" t="s">
        <v>518</v>
      </c>
      <c r="L40" s="1" t="s">
        <v>118</v>
      </c>
      <c r="M40" s="1" t="s">
        <v>51</v>
      </c>
      <c r="N40" s="1"/>
      <c r="O40" s="1">
        <f t="shared" si="0"/>
        <v>1</v>
      </c>
      <c r="P40" s="1" t="s">
        <v>475</v>
      </c>
    </row>
    <row r="41" spans="1:16" ht="69.25" customHeight="1">
      <c r="A41" s="1" t="s">
        <v>9</v>
      </c>
      <c r="B41" s="1" t="s">
        <v>5</v>
      </c>
      <c r="C41" s="1">
        <v>2025</v>
      </c>
      <c r="D41" s="1" t="s">
        <v>8</v>
      </c>
      <c r="E41" s="1" t="s">
        <v>106</v>
      </c>
      <c r="F41" s="1" t="s">
        <v>107</v>
      </c>
      <c r="G41" s="1">
        <v>0</v>
      </c>
      <c r="H41" s="1" t="s">
        <v>434</v>
      </c>
      <c r="I41" s="1" t="s">
        <v>532</v>
      </c>
      <c r="J41" s="1" t="s">
        <v>515</v>
      </c>
      <c r="K41" s="1" t="s">
        <v>522</v>
      </c>
      <c r="L41" s="1" t="s">
        <v>118</v>
      </c>
      <c r="M41" s="1" t="s">
        <v>51</v>
      </c>
      <c r="N41" s="1"/>
      <c r="O41" s="1">
        <f t="shared" si="0"/>
        <v>0</v>
      </c>
      <c r="P41" s="1" t="s">
        <v>454</v>
      </c>
    </row>
    <row r="42" spans="1:16" ht="69.25" customHeight="1">
      <c r="A42" s="1" t="s">
        <v>9</v>
      </c>
      <c r="B42" s="1" t="s">
        <v>10</v>
      </c>
      <c r="C42" s="1">
        <v>2022</v>
      </c>
      <c r="D42" s="1" t="s">
        <v>8</v>
      </c>
      <c r="E42" s="1" t="s">
        <v>70</v>
      </c>
      <c r="F42" s="1" t="s">
        <v>71</v>
      </c>
      <c r="G42" s="1">
        <v>1</v>
      </c>
      <c r="H42" s="1" t="s">
        <v>429</v>
      </c>
      <c r="I42" s="1" t="s">
        <v>533</v>
      </c>
      <c r="J42" s="1" t="s">
        <v>534</v>
      </c>
      <c r="K42" s="1" t="s">
        <v>535</v>
      </c>
      <c r="L42" s="1" t="s">
        <v>121</v>
      </c>
      <c r="M42" s="1" t="s">
        <v>51</v>
      </c>
      <c r="N42" s="1"/>
      <c r="O42" s="1">
        <f t="shared" si="0"/>
        <v>1</v>
      </c>
      <c r="P42" s="1" t="s">
        <v>433</v>
      </c>
    </row>
    <row r="43" spans="1:16" ht="69.25" customHeight="1">
      <c r="A43" s="1" t="s">
        <v>9</v>
      </c>
      <c r="B43" s="1" t="s">
        <v>10</v>
      </c>
      <c r="C43" s="1">
        <v>2022</v>
      </c>
      <c r="D43" s="1" t="s">
        <v>8</v>
      </c>
      <c r="E43" s="1" t="s">
        <v>74</v>
      </c>
      <c r="F43" s="1" t="s">
        <v>75</v>
      </c>
      <c r="G43" s="1">
        <v>0</v>
      </c>
      <c r="H43" s="1" t="s">
        <v>434</v>
      </c>
      <c r="I43" s="1" t="s">
        <v>536</v>
      </c>
      <c r="J43" s="1" t="s">
        <v>537</v>
      </c>
      <c r="K43" s="1" t="s">
        <v>538</v>
      </c>
      <c r="L43" s="1" t="s">
        <v>121</v>
      </c>
      <c r="M43" s="1" t="s">
        <v>51</v>
      </c>
      <c r="N43" s="1"/>
      <c r="O43" s="1">
        <f t="shared" si="0"/>
        <v>0</v>
      </c>
      <c r="P43" s="1" t="s">
        <v>437</v>
      </c>
    </row>
    <row r="44" spans="1:16" ht="69.25" customHeight="1">
      <c r="A44" s="1" t="s">
        <v>9</v>
      </c>
      <c r="B44" s="1" t="s">
        <v>10</v>
      </c>
      <c r="C44" s="1">
        <v>2022</v>
      </c>
      <c r="D44" s="1" t="s">
        <v>8</v>
      </c>
      <c r="E44" s="1" t="s">
        <v>78</v>
      </c>
      <c r="F44" s="1" t="s">
        <v>79</v>
      </c>
      <c r="G44" s="1">
        <v>0</v>
      </c>
      <c r="H44" s="1" t="s">
        <v>434</v>
      </c>
      <c r="I44" s="1" t="s">
        <v>539</v>
      </c>
      <c r="J44" s="1" t="s">
        <v>537</v>
      </c>
      <c r="K44" s="1" t="s">
        <v>540</v>
      </c>
      <c r="L44" s="1" t="s">
        <v>121</v>
      </c>
      <c r="M44" s="1" t="s">
        <v>51</v>
      </c>
      <c r="N44" s="1"/>
      <c r="O44" s="1">
        <f t="shared" si="0"/>
        <v>0</v>
      </c>
      <c r="P44" s="1" t="s">
        <v>439</v>
      </c>
    </row>
    <row r="45" spans="1:16" ht="69.25" customHeight="1">
      <c r="A45" s="1" t="s">
        <v>9</v>
      </c>
      <c r="B45" s="1" t="s">
        <v>10</v>
      </c>
      <c r="C45" s="1">
        <v>2022</v>
      </c>
      <c r="D45" s="1" t="s">
        <v>8</v>
      </c>
      <c r="E45" s="1" t="s">
        <v>82</v>
      </c>
      <c r="F45" s="1" t="s">
        <v>83</v>
      </c>
      <c r="G45" s="1">
        <v>1</v>
      </c>
      <c r="H45" s="1" t="s">
        <v>429</v>
      </c>
      <c r="I45" s="1" t="s">
        <v>541</v>
      </c>
      <c r="J45" s="1" t="s">
        <v>534</v>
      </c>
      <c r="K45" s="1" t="s">
        <v>542</v>
      </c>
      <c r="L45" s="1" t="s">
        <v>121</v>
      </c>
      <c r="M45" s="1" t="s">
        <v>51</v>
      </c>
      <c r="N45" s="1"/>
      <c r="O45" s="1">
        <f t="shared" si="0"/>
        <v>1</v>
      </c>
      <c r="P45" s="1" t="s">
        <v>465</v>
      </c>
    </row>
    <row r="46" spans="1:16" ht="69.25" customHeight="1">
      <c r="A46" s="1" t="s">
        <v>9</v>
      </c>
      <c r="B46" s="1" t="s">
        <v>10</v>
      </c>
      <c r="C46" s="1">
        <v>2022</v>
      </c>
      <c r="D46" s="1" t="s">
        <v>8</v>
      </c>
      <c r="E46" s="1" t="s">
        <v>86</v>
      </c>
      <c r="F46" s="1" t="s">
        <v>87</v>
      </c>
      <c r="G46" s="1">
        <v>0</v>
      </c>
      <c r="H46" s="1" t="s">
        <v>434</v>
      </c>
      <c r="I46" s="1" t="s">
        <v>440</v>
      </c>
      <c r="J46" s="1" t="s">
        <v>537</v>
      </c>
      <c r="K46" s="1"/>
      <c r="L46" s="1" t="s">
        <v>121</v>
      </c>
      <c r="M46" s="1" t="s">
        <v>51</v>
      </c>
      <c r="N46" s="1"/>
      <c r="O46" s="1">
        <f t="shared" si="0"/>
        <v>0</v>
      </c>
      <c r="P46" s="1" t="s">
        <v>441</v>
      </c>
    </row>
    <row r="47" spans="1:16" ht="69.25" customHeight="1">
      <c r="A47" s="1" t="s">
        <v>9</v>
      </c>
      <c r="B47" s="1" t="s">
        <v>10</v>
      </c>
      <c r="C47" s="1">
        <v>2022</v>
      </c>
      <c r="D47" s="1" t="s">
        <v>8</v>
      </c>
      <c r="E47" s="1" t="s">
        <v>90</v>
      </c>
      <c r="F47" s="1" t="s">
        <v>91</v>
      </c>
      <c r="G47" s="1">
        <v>0</v>
      </c>
      <c r="H47" s="1" t="s">
        <v>434</v>
      </c>
      <c r="I47" s="1" t="s">
        <v>543</v>
      </c>
      <c r="J47" s="1" t="s">
        <v>537</v>
      </c>
      <c r="K47" s="1" t="s">
        <v>544</v>
      </c>
      <c r="L47" s="1" t="s">
        <v>121</v>
      </c>
      <c r="M47" s="1" t="s">
        <v>51</v>
      </c>
      <c r="N47" s="1"/>
      <c r="O47" s="1">
        <f t="shared" si="0"/>
        <v>0</v>
      </c>
      <c r="P47" s="1" t="s">
        <v>444</v>
      </c>
    </row>
    <row r="48" spans="1:16" ht="69.25" customHeight="1">
      <c r="A48" s="1" t="s">
        <v>9</v>
      </c>
      <c r="B48" s="1" t="s">
        <v>10</v>
      </c>
      <c r="C48" s="1">
        <v>2022</v>
      </c>
      <c r="D48" s="1" t="s">
        <v>8</v>
      </c>
      <c r="E48" s="1" t="s">
        <v>94</v>
      </c>
      <c r="F48" s="1" t="s">
        <v>95</v>
      </c>
      <c r="G48" s="1">
        <v>0</v>
      </c>
      <c r="H48" s="1" t="s">
        <v>445</v>
      </c>
      <c r="I48" s="1" t="s">
        <v>545</v>
      </c>
      <c r="J48" s="1" t="s">
        <v>534</v>
      </c>
      <c r="K48" s="1" t="s">
        <v>546</v>
      </c>
      <c r="L48" s="1" t="s">
        <v>121</v>
      </c>
      <c r="M48" s="1" t="s">
        <v>51</v>
      </c>
      <c r="N48" s="1"/>
      <c r="O48" s="1">
        <f t="shared" si="0"/>
        <v>0</v>
      </c>
      <c r="P48" s="1" t="s">
        <v>448</v>
      </c>
    </row>
    <row r="49" spans="1:16" ht="69.25" customHeight="1">
      <c r="A49" s="1" t="s">
        <v>9</v>
      </c>
      <c r="B49" s="1" t="s">
        <v>10</v>
      </c>
      <c r="C49" s="1">
        <v>2022</v>
      </c>
      <c r="D49" s="1" t="s">
        <v>8</v>
      </c>
      <c r="E49" s="1" t="s">
        <v>98</v>
      </c>
      <c r="F49" s="1" t="s">
        <v>99</v>
      </c>
      <c r="G49" s="1">
        <v>0</v>
      </c>
      <c r="H49" s="1" t="s">
        <v>445</v>
      </c>
      <c r="I49" s="1" t="s">
        <v>547</v>
      </c>
      <c r="J49" s="1" t="s">
        <v>537</v>
      </c>
      <c r="K49" s="1" t="s">
        <v>548</v>
      </c>
      <c r="L49" s="1" t="s">
        <v>121</v>
      </c>
      <c r="M49" s="1" t="s">
        <v>51</v>
      </c>
      <c r="N49" s="1"/>
      <c r="O49" s="1">
        <f t="shared" si="0"/>
        <v>0</v>
      </c>
      <c r="P49" s="1" t="s">
        <v>448</v>
      </c>
    </row>
    <row r="50" spans="1:16" ht="69.25" customHeight="1">
      <c r="A50" s="1" t="s">
        <v>9</v>
      </c>
      <c r="B50" s="1" t="s">
        <v>10</v>
      </c>
      <c r="C50" s="1">
        <v>2022</v>
      </c>
      <c r="D50" s="1" t="s">
        <v>8</v>
      </c>
      <c r="E50" s="1" t="s">
        <v>102</v>
      </c>
      <c r="F50" s="1" t="s">
        <v>103</v>
      </c>
      <c r="G50" s="1">
        <v>0</v>
      </c>
      <c r="H50" s="1" t="s">
        <v>434</v>
      </c>
      <c r="I50" s="1" t="s">
        <v>536</v>
      </c>
      <c r="J50" s="1" t="s">
        <v>537</v>
      </c>
      <c r="K50" s="1" t="s">
        <v>538</v>
      </c>
      <c r="L50" s="1" t="s">
        <v>121</v>
      </c>
      <c r="M50" s="1" t="s">
        <v>51</v>
      </c>
      <c r="N50" s="1"/>
      <c r="O50" s="1">
        <f t="shared" si="0"/>
        <v>0</v>
      </c>
      <c r="P50" s="1" t="s">
        <v>452</v>
      </c>
    </row>
    <row r="51" spans="1:16" ht="69.25" customHeight="1">
      <c r="A51" s="1" t="s">
        <v>9</v>
      </c>
      <c r="B51" s="1" t="s">
        <v>10</v>
      </c>
      <c r="C51" s="1">
        <v>2022</v>
      </c>
      <c r="D51" s="1" t="s">
        <v>8</v>
      </c>
      <c r="E51" s="1" t="s">
        <v>106</v>
      </c>
      <c r="F51" s="1" t="s">
        <v>107</v>
      </c>
      <c r="G51" s="1">
        <v>0</v>
      </c>
      <c r="H51" s="1" t="s">
        <v>434</v>
      </c>
      <c r="I51" s="1" t="s">
        <v>549</v>
      </c>
      <c r="J51" s="1" t="s">
        <v>537</v>
      </c>
      <c r="K51" s="1" t="s">
        <v>550</v>
      </c>
      <c r="L51" s="1" t="s">
        <v>121</v>
      </c>
      <c r="M51" s="1" t="s">
        <v>51</v>
      </c>
      <c r="N51" s="1"/>
      <c r="O51" s="1">
        <f t="shared" si="0"/>
        <v>0</v>
      </c>
      <c r="P51" s="1" t="s">
        <v>454</v>
      </c>
    </row>
    <row r="52" spans="1:16" ht="69.25" customHeight="1">
      <c r="A52" s="1" t="s">
        <v>9</v>
      </c>
      <c r="B52" s="1" t="s">
        <v>10</v>
      </c>
      <c r="C52" s="1">
        <v>2023</v>
      </c>
      <c r="D52" s="1" t="s">
        <v>8</v>
      </c>
      <c r="E52" s="1" t="s">
        <v>70</v>
      </c>
      <c r="F52" s="1" t="s">
        <v>71</v>
      </c>
      <c r="G52" s="1">
        <v>1</v>
      </c>
      <c r="H52" s="1" t="s">
        <v>429</v>
      </c>
      <c r="I52" s="1" t="s">
        <v>551</v>
      </c>
      <c r="J52" s="1" t="s">
        <v>552</v>
      </c>
      <c r="K52" s="1" t="s">
        <v>553</v>
      </c>
      <c r="L52" s="1" t="s">
        <v>121</v>
      </c>
      <c r="M52" s="1" t="s">
        <v>51</v>
      </c>
      <c r="N52" s="1"/>
      <c r="O52" s="1">
        <f t="shared" si="0"/>
        <v>1</v>
      </c>
      <c r="P52" s="1" t="s">
        <v>433</v>
      </c>
    </row>
    <row r="53" spans="1:16" ht="69.25" customHeight="1">
      <c r="A53" s="1" t="s">
        <v>9</v>
      </c>
      <c r="B53" s="1" t="s">
        <v>10</v>
      </c>
      <c r="C53" s="1">
        <v>2023</v>
      </c>
      <c r="D53" s="1" t="s">
        <v>8</v>
      </c>
      <c r="E53" s="1" t="s">
        <v>74</v>
      </c>
      <c r="F53" s="1" t="s">
        <v>75</v>
      </c>
      <c r="G53" s="1">
        <v>0</v>
      </c>
      <c r="H53" s="1" t="s">
        <v>434</v>
      </c>
      <c r="I53" s="1" t="s">
        <v>554</v>
      </c>
      <c r="J53" s="1" t="s">
        <v>552</v>
      </c>
      <c r="K53" s="1" t="s">
        <v>555</v>
      </c>
      <c r="L53" s="1" t="s">
        <v>121</v>
      </c>
      <c r="M53" s="1" t="s">
        <v>51</v>
      </c>
      <c r="N53" s="1"/>
      <c r="O53" s="1">
        <f t="shared" si="0"/>
        <v>0</v>
      </c>
      <c r="P53" s="1" t="s">
        <v>437</v>
      </c>
    </row>
    <row r="54" spans="1:16" ht="69.25" customHeight="1">
      <c r="A54" s="1" t="s">
        <v>9</v>
      </c>
      <c r="B54" s="1" t="s">
        <v>10</v>
      </c>
      <c r="C54" s="1">
        <v>2023</v>
      </c>
      <c r="D54" s="1" t="s">
        <v>8</v>
      </c>
      <c r="E54" s="1" t="s">
        <v>78</v>
      </c>
      <c r="F54" s="1" t="s">
        <v>79</v>
      </c>
      <c r="G54" s="1">
        <v>0</v>
      </c>
      <c r="H54" s="1" t="s">
        <v>434</v>
      </c>
      <c r="I54" s="1" t="s">
        <v>556</v>
      </c>
      <c r="J54" s="1" t="s">
        <v>552</v>
      </c>
      <c r="K54" s="1" t="s">
        <v>557</v>
      </c>
      <c r="L54" s="1" t="s">
        <v>121</v>
      </c>
      <c r="M54" s="1" t="s">
        <v>51</v>
      </c>
      <c r="N54" s="1"/>
      <c r="O54" s="1">
        <f t="shared" si="0"/>
        <v>0</v>
      </c>
      <c r="P54" s="1" t="s">
        <v>439</v>
      </c>
    </row>
    <row r="55" spans="1:16" ht="69.25" customHeight="1">
      <c r="A55" s="1" t="s">
        <v>9</v>
      </c>
      <c r="B55" s="1" t="s">
        <v>10</v>
      </c>
      <c r="C55" s="1">
        <v>2023</v>
      </c>
      <c r="D55" s="1" t="s">
        <v>8</v>
      </c>
      <c r="E55" s="1" t="s">
        <v>82</v>
      </c>
      <c r="F55" s="1" t="s">
        <v>83</v>
      </c>
      <c r="G55" s="1">
        <v>1</v>
      </c>
      <c r="H55" s="1" t="s">
        <v>429</v>
      </c>
      <c r="I55" s="1" t="s">
        <v>558</v>
      </c>
      <c r="J55" s="1" t="s">
        <v>552</v>
      </c>
      <c r="K55" s="1" t="s">
        <v>553</v>
      </c>
      <c r="L55" s="1" t="s">
        <v>121</v>
      </c>
      <c r="M55" s="1" t="s">
        <v>51</v>
      </c>
      <c r="N55" s="1"/>
      <c r="O55" s="1">
        <f t="shared" si="0"/>
        <v>1</v>
      </c>
      <c r="P55" s="1" t="s">
        <v>465</v>
      </c>
    </row>
    <row r="56" spans="1:16" ht="69.25" customHeight="1">
      <c r="A56" s="1" t="s">
        <v>9</v>
      </c>
      <c r="B56" s="1" t="s">
        <v>10</v>
      </c>
      <c r="C56" s="1">
        <v>2023</v>
      </c>
      <c r="D56" s="1" t="s">
        <v>8</v>
      </c>
      <c r="E56" s="1" t="s">
        <v>86</v>
      </c>
      <c r="F56" s="1" t="s">
        <v>87</v>
      </c>
      <c r="G56" s="1">
        <v>0</v>
      </c>
      <c r="H56" s="1" t="s">
        <v>434</v>
      </c>
      <c r="I56" s="1" t="s">
        <v>440</v>
      </c>
      <c r="J56" s="1" t="s">
        <v>552</v>
      </c>
      <c r="K56" s="1"/>
      <c r="L56" s="1" t="s">
        <v>121</v>
      </c>
      <c r="M56" s="1" t="s">
        <v>51</v>
      </c>
      <c r="N56" s="1"/>
      <c r="O56" s="1">
        <f t="shared" si="0"/>
        <v>0</v>
      </c>
      <c r="P56" s="1" t="s">
        <v>441</v>
      </c>
    </row>
    <row r="57" spans="1:16" ht="69.25" customHeight="1">
      <c r="A57" s="1" t="s">
        <v>9</v>
      </c>
      <c r="B57" s="1" t="s">
        <v>10</v>
      </c>
      <c r="C57" s="1">
        <v>2023</v>
      </c>
      <c r="D57" s="1" t="s">
        <v>8</v>
      </c>
      <c r="E57" s="1" t="s">
        <v>90</v>
      </c>
      <c r="F57" s="1" t="s">
        <v>91</v>
      </c>
      <c r="G57" s="1">
        <v>0</v>
      </c>
      <c r="H57" s="1" t="s">
        <v>434</v>
      </c>
      <c r="I57" s="1" t="s">
        <v>559</v>
      </c>
      <c r="J57" s="1" t="s">
        <v>552</v>
      </c>
      <c r="K57" s="1" t="s">
        <v>436</v>
      </c>
      <c r="L57" s="1" t="s">
        <v>121</v>
      </c>
      <c r="M57" s="1" t="s">
        <v>51</v>
      </c>
      <c r="N57" s="1"/>
      <c r="O57" s="1">
        <f t="shared" si="0"/>
        <v>0</v>
      </c>
      <c r="P57" s="1" t="s">
        <v>444</v>
      </c>
    </row>
    <row r="58" spans="1:16" ht="69.25" customHeight="1">
      <c r="A58" s="1" t="s">
        <v>9</v>
      </c>
      <c r="B58" s="1" t="s">
        <v>10</v>
      </c>
      <c r="C58" s="1">
        <v>2023</v>
      </c>
      <c r="D58" s="1" t="s">
        <v>8</v>
      </c>
      <c r="E58" s="1" t="s">
        <v>94</v>
      </c>
      <c r="F58" s="1" t="s">
        <v>95</v>
      </c>
      <c r="G58" s="1">
        <v>0</v>
      </c>
      <c r="H58" s="1" t="s">
        <v>445</v>
      </c>
      <c r="I58" s="1" t="s">
        <v>560</v>
      </c>
      <c r="J58" s="1" t="s">
        <v>552</v>
      </c>
      <c r="K58" s="1" t="s">
        <v>561</v>
      </c>
      <c r="L58" s="1" t="s">
        <v>121</v>
      </c>
      <c r="M58" s="1" t="s">
        <v>51</v>
      </c>
      <c r="N58" s="1"/>
      <c r="O58" s="1">
        <f t="shared" si="0"/>
        <v>0</v>
      </c>
      <c r="P58" s="1" t="s">
        <v>448</v>
      </c>
    </row>
    <row r="59" spans="1:16" ht="69.25" customHeight="1">
      <c r="A59" s="1" t="s">
        <v>9</v>
      </c>
      <c r="B59" s="1" t="s">
        <v>10</v>
      </c>
      <c r="C59" s="1">
        <v>2023</v>
      </c>
      <c r="D59" s="1" t="s">
        <v>8</v>
      </c>
      <c r="E59" s="1" t="s">
        <v>98</v>
      </c>
      <c r="F59" s="1" t="s">
        <v>99</v>
      </c>
      <c r="G59" s="1">
        <v>0</v>
      </c>
      <c r="H59" s="1" t="s">
        <v>445</v>
      </c>
      <c r="I59" s="1" t="s">
        <v>562</v>
      </c>
      <c r="J59" s="1" t="s">
        <v>552</v>
      </c>
      <c r="K59" s="1" t="s">
        <v>563</v>
      </c>
      <c r="L59" s="1" t="s">
        <v>121</v>
      </c>
      <c r="M59" s="1" t="s">
        <v>51</v>
      </c>
      <c r="N59" s="1"/>
      <c r="O59" s="1">
        <f t="shared" si="0"/>
        <v>0</v>
      </c>
      <c r="P59" s="1" t="s">
        <v>448</v>
      </c>
    </row>
    <row r="60" spans="1:16" ht="69.25" customHeight="1">
      <c r="A60" s="1" t="s">
        <v>9</v>
      </c>
      <c r="B60" s="1" t="s">
        <v>10</v>
      </c>
      <c r="C60" s="1">
        <v>2023</v>
      </c>
      <c r="D60" s="1" t="s">
        <v>8</v>
      </c>
      <c r="E60" s="1" t="s">
        <v>102</v>
      </c>
      <c r="F60" s="1" t="s">
        <v>103</v>
      </c>
      <c r="G60" s="1">
        <v>0</v>
      </c>
      <c r="H60" s="1" t="s">
        <v>434</v>
      </c>
      <c r="I60" s="1" t="s">
        <v>554</v>
      </c>
      <c r="J60" s="1" t="s">
        <v>552</v>
      </c>
      <c r="K60" s="1" t="s">
        <v>555</v>
      </c>
      <c r="L60" s="1" t="s">
        <v>121</v>
      </c>
      <c r="M60" s="1" t="s">
        <v>51</v>
      </c>
      <c r="N60" s="1"/>
      <c r="O60" s="1">
        <f t="shared" si="0"/>
        <v>0</v>
      </c>
      <c r="P60" s="1" t="s">
        <v>452</v>
      </c>
    </row>
    <row r="61" spans="1:16" ht="69.25" customHeight="1">
      <c r="A61" s="1" t="s">
        <v>9</v>
      </c>
      <c r="B61" s="1" t="s">
        <v>10</v>
      </c>
      <c r="C61" s="1">
        <v>2023</v>
      </c>
      <c r="D61" s="1" t="s">
        <v>8</v>
      </c>
      <c r="E61" s="1" t="s">
        <v>106</v>
      </c>
      <c r="F61" s="1" t="s">
        <v>107</v>
      </c>
      <c r="G61" s="1">
        <v>0</v>
      </c>
      <c r="H61" s="1" t="s">
        <v>434</v>
      </c>
      <c r="I61" s="1" t="s">
        <v>564</v>
      </c>
      <c r="J61" s="1" t="s">
        <v>552</v>
      </c>
      <c r="K61" s="1" t="s">
        <v>565</v>
      </c>
      <c r="L61" s="1" t="s">
        <v>121</v>
      </c>
      <c r="M61" s="1" t="s">
        <v>51</v>
      </c>
      <c r="N61" s="1"/>
      <c r="O61" s="1">
        <f t="shared" si="0"/>
        <v>0</v>
      </c>
      <c r="P61" s="1" t="s">
        <v>454</v>
      </c>
    </row>
    <row r="62" spans="1:16" ht="69.25" customHeight="1">
      <c r="A62" s="1" t="s">
        <v>9</v>
      </c>
      <c r="B62" s="1" t="s">
        <v>10</v>
      </c>
      <c r="C62" s="1">
        <v>2024</v>
      </c>
      <c r="D62" s="1" t="s">
        <v>8</v>
      </c>
      <c r="E62" s="1" t="s">
        <v>70</v>
      </c>
      <c r="F62" s="1" t="s">
        <v>71</v>
      </c>
      <c r="G62" s="1">
        <v>1</v>
      </c>
      <c r="H62" s="1" t="s">
        <v>478</v>
      </c>
      <c r="I62" s="1" t="s">
        <v>566</v>
      </c>
      <c r="J62" s="1" t="s">
        <v>567</v>
      </c>
      <c r="K62" s="1" t="s">
        <v>568</v>
      </c>
      <c r="L62" s="1" t="s">
        <v>569</v>
      </c>
      <c r="M62" s="1" t="s">
        <v>51</v>
      </c>
      <c r="N62" s="1"/>
      <c r="O62" s="1">
        <f t="shared" si="0"/>
        <v>1</v>
      </c>
      <c r="P62" s="1" t="s">
        <v>570</v>
      </c>
    </row>
    <row r="63" spans="1:16" ht="69.25" customHeight="1">
      <c r="A63" s="1" t="s">
        <v>9</v>
      </c>
      <c r="B63" s="1" t="s">
        <v>10</v>
      </c>
      <c r="C63" s="1">
        <v>2024</v>
      </c>
      <c r="D63" s="1" t="s">
        <v>8</v>
      </c>
      <c r="E63" s="1" t="s">
        <v>74</v>
      </c>
      <c r="F63" s="1" t="s">
        <v>75</v>
      </c>
      <c r="G63" s="1">
        <v>1</v>
      </c>
      <c r="H63" s="1" t="s">
        <v>478</v>
      </c>
      <c r="I63" s="1" t="s">
        <v>571</v>
      </c>
      <c r="J63" s="1" t="s">
        <v>567</v>
      </c>
      <c r="K63" s="1" t="s">
        <v>568</v>
      </c>
      <c r="L63" s="1" t="s">
        <v>569</v>
      </c>
      <c r="M63" s="1" t="s">
        <v>51</v>
      </c>
      <c r="N63" s="1"/>
      <c r="O63" s="1">
        <f t="shared" si="0"/>
        <v>1</v>
      </c>
      <c r="P63" s="1" t="s">
        <v>572</v>
      </c>
    </row>
    <row r="64" spans="1:16" ht="69.25" customHeight="1">
      <c r="A64" s="1" t="s">
        <v>9</v>
      </c>
      <c r="B64" s="1" t="s">
        <v>10</v>
      </c>
      <c r="C64" s="1">
        <v>2024</v>
      </c>
      <c r="D64" s="1" t="s">
        <v>8</v>
      </c>
      <c r="E64" s="1" t="s">
        <v>78</v>
      </c>
      <c r="F64" s="1" t="s">
        <v>79</v>
      </c>
      <c r="G64" s="1">
        <v>0</v>
      </c>
      <c r="H64" s="1" t="s">
        <v>486</v>
      </c>
      <c r="I64" s="1" t="s">
        <v>573</v>
      </c>
      <c r="J64" s="1" t="s">
        <v>488</v>
      </c>
      <c r="K64" s="1" t="s">
        <v>574</v>
      </c>
      <c r="L64" s="1" t="s">
        <v>490</v>
      </c>
      <c r="M64" s="1" t="s">
        <v>51</v>
      </c>
      <c r="N64" s="1"/>
      <c r="O64" s="1">
        <f t="shared" si="0"/>
        <v>0</v>
      </c>
      <c r="P64" s="1" t="s">
        <v>575</v>
      </c>
    </row>
    <row r="65" spans="1:16" ht="69.25" customHeight="1">
      <c r="A65" s="1" t="s">
        <v>9</v>
      </c>
      <c r="B65" s="1" t="s">
        <v>10</v>
      </c>
      <c r="C65" s="1">
        <v>2024</v>
      </c>
      <c r="D65" s="1" t="s">
        <v>8</v>
      </c>
      <c r="E65" s="1" t="s">
        <v>82</v>
      </c>
      <c r="F65" s="1" t="s">
        <v>83</v>
      </c>
      <c r="G65" s="1">
        <v>1</v>
      </c>
      <c r="H65" s="1" t="s">
        <v>478</v>
      </c>
      <c r="I65" s="1" t="s">
        <v>576</v>
      </c>
      <c r="J65" s="1" t="s">
        <v>567</v>
      </c>
      <c r="K65" s="1" t="s">
        <v>577</v>
      </c>
      <c r="L65" s="1" t="s">
        <v>569</v>
      </c>
      <c r="M65" s="1" t="s">
        <v>51</v>
      </c>
      <c r="N65" s="1"/>
      <c r="O65" s="1">
        <f t="shared" si="0"/>
        <v>1</v>
      </c>
      <c r="P65" s="1" t="s">
        <v>578</v>
      </c>
    </row>
    <row r="66" spans="1:16" ht="69.25" customHeight="1">
      <c r="A66" s="1" t="s">
        <v>9</v>
      </c>
      <c r="B66" s="1" t="s">
        <v>10</v>
      </c>
      <c r="C66" s="1">
        <v>2024</v>
      </c>
      <c r="D66" s="1" t="s">
        <v>8</v>
      </c>
      <c r="E66" s="1" t="s">
        <v>86</v>
      </c>
      <c r="F66" s="1" t="s">
        <v>87</v>
      </c>
      <c r="G66" s="1">
        <v>1</v>
      </c>
      <c r="H66" s="1" t="s">
        <v>478</v>
      </c>
      <c r="I66" s="1" t="s">
        <v>579</v>
      </c>
      <c r="J66" s="1" t="s">
        <v>567</v>
      </c>
      <c r="K66" s="1" t="s">
        <v>577</v>
      </c>
      <c r="L66" s="1" t="s">
        <v>569</v>
      </c>
      <c r="M66" s="1" t="s">
        <v>51</v>
      </c>
      <c r="N66" s="1"/>
      <c r="O66" s="1">
        <f t="shared" ref="O66:O129" si="1">IF(N66&lt;&gt;"",N66,G66)</f>
        <v>1</v>
      </c>
      <c r="P66" s="1" t="s">
        <v>580</v>
      </c>
    </row>
    <row r="67" spans="1:16" ht="69.25" customHeight="1">
      <c r="A67" s="1" t="s">
        <v>9</v>
      </c>
      <c r="B67" s="1" t="s">
        <v>10</v>
      </c>
      <c r="C67" s="1">
        <v>2024</v>
      </c>
      <c r="D67" s="1" t="s">
        <v>8</v>
      </c>
      <c r="E67" s="1" t="s">
        <v>90</v>
      </c>
      <c r="F67" s="1" t="s">
        <v>91</v>
      </c>
      <c r="G67" s="1">
        <v>1</v>
      </c>
      <c r="H67" s="1" t="s">
        <v>478</v>
      </c>
      <c r="I67" s="1" t="s">
        <v>581</v>
      </c>
      <c r="J67" s="1" t="s">
        <v>582</v>
      </c>
      <c r="K67" s="1" t="s">
        <v>583</v>
      </c>
      <c r="L67" s="1" t="s">
        <v>121</v>
      </c>
      <c r="M67" s="1" t="s">
        <v>51</v>
      </c>
      <c r="N67" s="1"/>
      <c r="O67" s="1">
        <f t="shared" si="1"/>
        <v>1</v>
      </c>
      <c r="P67" s="1" t="s">
        <v>584</v>
      </c>
    </row>
    <row r="68" spans="1:16" ht="69.25" customHeight="1">
      <c r="A68" s="1" t="s">
        <v>9</v>
      </c>
      <c r="B68" s="1" t="s">
        <v>10</v>
      </c>
      <c r="C68" s="1">
        <v>2024</v>
      </c>
      <c r="D68" s="1" t="s">
        <v>8</v>
      </c>
      <c r="E68" s="1" t="s">
        <v>94</v>
      </c>
      <c r="F68" s="1" t="s">
        <v>95</v>
      </c>
      <c r="G68" s="1">
        <v>1</v>
      </c>
      <c r="H68" s="1" t="s">
        <v>478</v>
      </c>
      <c r="I68" s="1" t="s">
        <v>585</v>
      </c>
      <c r="J68" s="1" t="s">
        <v>567</v>
      </c>
      <c r="K68" s="1" t="s">
        <v>586</v>
      </c>
      <c r="L68" s="1" t="s">
        <v>569</v>
      </c>
      <c r="M68" s="1" t="s">
        <v>51</v>
      </c>
      <c r="N68" s="1"/>
      <c r="O68" s="1">
        <f t="shared" si="1"/>
        <v>1</v>
      </c>
      <c r="P68" s="1" t="s">
        <v>587</v>
      </c>
    </row>
    <row r="69" spans="1:16" ht="69.25" customHeight="1">
      <c r="A69" s="1" t="s">
        <v>9</v>
      </c>
      <c r="B69" s="1" t="s">
        <v>10</v>
      </c>
      <c r="C69" s="1">
        <v>2024</v>
      </c>
      <c r="D69" s="1" t="s">
        <v>8</v>
      </c>
      <c r="E69" s="1" t="s">
        <v>98</v>
      </c>
      <c r="F69" s="1" t="s">
        <v>99</v>
      </c>
      <c r="G69" s="1">
        <v>1</v>
      </c>
      <c r="H69" s="1" t="s">
        <v>588</v>
      </c>
      <c r="I69" s="1" t="s">
        <v>589</v>
      </c>
      <c r="J69" s="1" t="s">
        <v>590</v>
      </c>
      <c r="K69" s="1" t="s">
        <v>591</v>
      </c>
      <c r="L69" s="1" t="s">
        <v>592</v>
      </c>
      <c r="M69" s="1" t="s">
        <v>51</v>
      </c>
      <c r="N69" s="1"/>
      <c r="O69" s="1">
        <f t="shared" si="1"/>
        <v>1</v>
      </c>
      <c r="P69" s="1" t="s">
        <v>593</v>
      </c>
    </row>
    <row r="70" spans="1:16" ht="69.25" customHeight="1">
      <c r="A70" s="1" t="s">
        <v>9</v>
      </c>
      <c r="B70" s="1" t="s">
        <v>10</v>
      </c>
      <c r="C70" s="1">
        <v>2024</v>
      </c>
      <c r="D70" s="1" t="s">
        <v>8</v>
      </c>
      <c r="E70" s="1" t="s">
        <v>102</v>
      </c>
      <c r="F70" s="1" t="s">
        <v>103</v>
      </c>
      <c r="G70" s="1">
        <v>1</v>
      </c>
      <c r="H70" s="1" t="s">
        <v>478</v>
      </c>
      <c r="I70" s="1" t="s">
        <v>594</v>
      </c>
      <c r="J70" s="1" t="s">
        <v>567</v>
      </c>
      <c r="K70" s="1" t="s">
        <v>595</v>
      </c>
      <c r="L70" s="1" t="s">
        <v>569</v>
      </c>
      <c r="M70" s="1" t="s">
        <v>51</v>
      </c>
      <c r="N70" s="1"/>
      <c r="O70" s="1">
        <f t="shared" si="1"/>
        <v>1</v>
      </c>
      <c r="P70" s="1" t="s">
        <v>596</v>
      </c>
    </row>
    <row r="71" spans="1:16" ht="69.25" customHeight="1">
      <c r="A71" s="1" t="s">
        <v>9</v>
      </c>
      <c r="B71" s="1" t="s">
        <v>10</v>
      </c>
      <c r="C71" s="1">
        <v>2024</v>
      </c>
      <c r="D71" s="1" t="s">
        <v>8</v>
      </c>
      <c r="E71" s="1" t="s">
        <v>106</v>
      </c>
      <c r="F71" s="1" t="s">
        <v>107</v>
      </c>
      <c r="G71" s="1">
        <v>1</v>
      </c>
      <c r="H71" s="1" t="s">
        <v>597</v>
      </c>
      <c r="I71" s="1" t="s">
        <v>598</v>
      </c>
      <c r="J71" s="1" t="s">
        <v>599</v>
      </c>
      <c r="K71" s="1" t="s">
        <v>600</v>
      </c>
      <c r="L71" s="1" t="s">
        <v>601</v>
      </c>
      <c r="M71" s="1" t="s">
        <v>51</v>
      </c>
      <c r="N71" s="1"/>
      <c r="O71" s="1">
        <f t="shared" si="1"/>
        <v>1</v>
      </c>
      <c r="P71" s="1" t="s">
        <v>602</v>
      </c>
    </row>
    <row r="72" spans="1:16" ht="69.25" customHeight="1">
      <c r="A72" s="1" t="s">
        <v>9</v>
      </c>
      <c r="B72" s="1" t="s">
        <v>10</v>
      </c>
      <c r="C72" s="1">
        <v>2025</v>
      </c>
      <c r="D72" s="1" t="s">
        <v>8</v>
      </c>
      <c r="E72" s="1" t="s">
        <v>70</v>
      </c>
      <c r="F72" s="1" t="s">
        <v>71</v>
      </c>
      <c r="G72" s="1">
        <v>0</v>
      </c>
      <c r="H72" s="1" t="s">
        <v>445</v>
      </c>
      <c r="I72" s="1" t="s">
        <v>603</v>
      </c>
      <c r="J72" s="1" t="s">
        <v>604</v>
      </c>
      <c r="K72" s="1" t="s">
        <v>518</v>
      </c>
      <c r="L72" s="1" t="s">
        <v>121</v>
      </c>
      <c r="M72" s="1" t="s">
        <v>51</v>
      </c>
      <c r="N72" s="1"/>
      <c r="O72" s="1">
        <f t="shared" si="1"/>
        <v>0</v>
      </c>
      <c r="P72" s="1" t="s">
        <v>448</v>
      </c>
    </row>
    <row r="73" spans="1:16" ht="69.25" customHeight="1">
      <c r="A73" s="1" t="s">
        <v>9</v>
      </c>
      <c r="B73" s="1" t="s">
        <v>10</v>
      </c>
      <c r="C73" s="1">
        <v>2025</v>
      </c>
      <c r="D73" s="1" t="s">
        <v>8</v>
      </c>
      <c r="E73" s="1" t="s">
        <v>74</v>
      </c>
      <c r="F73" s="1" t="s">
        <v>75</v>
      </c>
      <c r="G73" s="1">
        <v>0</v>
      </c>
      <c r="H73" s="1" t="s">
        <v>434</v>
      </c>
      <c r="I73" s="1" t="s">
        <v>605</v>
      </c>
      <c r="J73" s="1" t="s">
        <v>604</v>
      </c>
      <c r="K73" s="1" t="s">
        <v>606</v>
      </c>
      <c r="L73" s="1" t="s">
        <v>121</v>
      </c>
      <c r="M73" s="1" t="s">
        <v>51</v>
      </c>
      <c r="N73" s="1"/>
      <c r="O73" s="1">
        <f t="shared" si="1"/>
        <v>0</v>
      </c>
      <c r="P73" s="1" t="s">
        <v>437</v>
      </c>
    </row>
    <row r="74" spans="1:16" ht="69.25" customHeight="1">
      <c r="A74" s="1" t="s">
        <v>9</v>
      </c>
      <c r="B74" s="1" t="s">
        <v>10</v>
      </c>
      <c r="C74" s="1">
        <v>2025</v>
      </c>
      <c r="D74" s="1" t="s">
        <v>8</v>
      </c>
      <c r="E74" s="1" t="s">
        <v>78</v>
      </c>
      <c r="F74" s="1" t="s">
        <v>79</v>
      </c>
      <c r="G74" s="1">
        <v>0</v>
      </c>
      <c r="H74" s="1" t="s">
        <v>434</v>
      </c>
      <c r="I74" s="1" t="s">
        <v>607</v>
      </c>
      <c r="J74" s="1" t="s">
        <v>604</v>
      </c>
      <c r="K74" s="1" t="s">
        <v>608</v>
      </c>
      <c r="L74" s="1" t="s">
        <v>121</v>
      </c>
      <c r="M74" s="1" t="s">
        <v>51</v>
      </c>
      <c r="N74" s="1"/>
      <c r="O74" s="1">
        <f t="shared" si="1"/>
        <v>0</v>
      </c>
      <c r="P74" s="1" t="s">
        <v>439</v>
      </c>
    </row>
    <row r="75" spans="1:16" ht="69.25" customHeight="1">
      <c r="A75" s="1" t="s">
        <v>9</v>
      </c>
      <c r="B75" s="1" t="s">
        <v>10</v>
      </c>
      <c r="C75" s="1">
        <v>2025</v>
      </c>
      <c r="D75" s="1" t="s">
        <v>8</v>
      </c>
      <c r="E75" s="1" t="s">
        <v>82</v>
      </c>
      <c r="F75" s="1" t="s">
        <v>83</v>
      </c>
      <c r="G75" s="1">
        <v>1</v>
      </c>
      <c r="H75" s="1" t="s">
        <v>429</v>
      </c>
      <c r="I75" s="1" t="s">
        <v>609</v>
      </c>
      <c r="J75" s="1" t="s">
        <v>604</v>
      </c>
      <c r="K75" s="1" t="s">
        <v>610</v>
      </c>
      <c r="L75" s="1" t="s">
        <v>121</v>
      </c>
      <c r="M75" s="1" t="s">
        <v>51</v>
      </c>
      <c r="N75" s="1"/>
      <c r="O75" s="1">
        <f t="shared" si="1"/>
        <v>1</v>
      </c>
      <c r="P75" s="1" t="s">
        <v>465</v>
      </c>
    </row>
    <row r="76" spans="1:16" ht="69.25" customHeight="1">
      <c r="A76" s="1" t="s">
        <v>9</v>
      </c>
      <c r="B76" s="1" t="s">
        <v>10</v>
      </c>
      <c r="C76" s="1">
        <v>2025</v>
      </c>
      <c r="D76" s="1" t="s">
        <v>8</v>
      </c>
      <c r="E76" s="1" t="s">
        <v>86</v>
      </c>
      <c r="F76" s="1" t="s">
        <v>87</v>
      </c>
      <c r="G76" s="1">
        <v>0</v>
      </c>
      <c r="H76" s="1" t="s">
        <v>434</v>
      </c>
      <c r="I76" s="1" t="s">
        <v>440</v>
      </c>
      <c r="J76" s="1" t="s">
        <v>604</v>
      </c>
      <c r="K76" s="1"/>
      <c r="L76" s="1" t="s">
        <v>121</v>
      </c>
      <c r="M76" s="1" t="s">
        <v>51</v>
      </c>
      <c r="N76" s="1"/>
      <c r="O76" s="1">
        <f t="shared" si="1"/>
        <v>0</v>
      </c>
      <c r="P76" s="1" t="s">
        <v>441</v>
      </c>
    </row>
    <row r="77" spans="1:16" ht="69.25" customHeight="1">
      <c r="A77" s="1" t="s">
        <v>9</v>
      </c>
      <c r="B77" s="1" t="s">
        <v>10</v>
      </c>
      <c r="C77" s="1">
        <v>2025</v>
      </c>
      <c r="D77" s="1" t="s">
        <v>8</v>
      </c>
      <c r="E77" s="1" t="s">
        <v>90</v>
      </c>
      <c r="F77" s="1" t="s">
        <v>91</v>
      </c>
      <c r="G77" s="1">
        <v>0</v>
      </c>
      <c r="H77" s="1" t="s">
        <v>434</v>
      </c>
      <c r="I77" s="1" t="s">
        <v>611</v>
      </c>
      <c r="J77" s="1" t="s">
        <v>604</v>
      </c>
      <c r="K77" s="1" t="s">
        <v>535</v>
      </c>
      <c r="L77" s="1" t="s">
        <v>121</v>
      </c>
      <c r="M77" s="1" t="s">
        <v>51</v>
      </c>
      <c r="N77" s="1"/>
      <c r="O77" s="1">
        <f t="shared" si="1"/>
        <v>0</v>
      </c>
      <c r="P77" s="1" t="s">
        <v>444</v>
      </c>
    </row>
    <row r="78" spans="1:16" ht="69.25" customHeight="1">
      <c r="A78" s="1" t="s">
        <v>9</v>
      </c>
      <c r="B78" s="1" t="s">
        <v>10</v>
      </c>
      <c r="C78" s="1">
        <v>2025</v>
      </c>
      <c r="D78" s="1" t="s">
        <v>8</v>
      </c>
      <c r="E78" s="1" t="s">
        <v>94</v>
      </c>
      <c r="F78" s="1" t="s">
        <v>95</v>
      </c>
      <c r="G78" s="1">
        <v>0</v>
      </c>
      <c r="H78" s="1" t="s">
        <v>445</v>
      </c>
      <c r="I78" s="1" t="s">
        <v>612</v>
      </c>
      <c r="J78" s="1" t="s">
        <v>604</v>
      </c>
      <c r="K78" s="1" t="s">
        <v>613</v>
      </c>
      <c r="L78" s="1" t="s">
        <v>121</v>
      </c>
      <c r="M78" s="1" t="s">
        <v>51</v>
      </c>
      <c r="N78" s="1"/>
      <c r="O78" s="1">
        <f t="shared" si="1"/>
        <v>0</v>
      </c>
      <c r="P78" s="1" t="s">
        <v>448</v>
      </c>
    </row>
    <row r="79" spans="1:16" ht="69.25" customHeight="1">
      <c r="A79" s="1" t="s">
        <v>9</v>
      </c>
      <c r="B79" s="1" t="s">
        <v>10</v>
      </c>
      <c r="C79" s="1">
        <v>2025</v>
      </c>
      <c r="D79" s="1" t="s">
        <v>8</v>
      </c>
      <c r="E79" s="1" t="s">
        <v>98</v>
      </c>
      <c r="F79" s="1" t="s">
        <v>99</v>
      </c>
      <c r="G79" s="1">
        <v>1</v>
      </c>
      <c r="H79" s="1" t="s">
        <v>429</v>
      </c>
      <c r="I79" s="1" t="s">
        <v>614</v>
      </c>
      <c r="J79" s="1" t="s">
        <v>604</v>
      </c>
      <c r="K79" s="1" t="s">
        <v>615</v>
      </c>
      <c r="L79" s="1" t="s">
        <v>121</v>
      </c>
      <c r="M79" s="1" t="s">
        <v>51</v>
      </c>
      <c r="N79" s="1"/>
      <c r="O79" s="1">
        <f t="shared" si="1"/>
        <v>1</v>
      </c>
      <c r="P79" s="1" t="s">
        <v>451</v>
      </c>
    </row>
    <row r="80" spans="1:16" ht="69.25" customHeight="1">
      <c r="A80" s="1" t="s">
        <v>9</v>
      </c>
      <c r="B80" s="1" t="s">
        <v>10</v>
      </c>
      <c r="C80" s="1">
        <v>2025</v>
      </c>
      <c r="D80" s="1" t="s">
        <v>8</v>
      </c>
      <c r="E80" s="1" t="s">
        <v>102</v>
      </c>
      <c r="F80" s="1" t="s">
        <v>103</v>
      </c>
      <c r="G80" s="1">
        <v>0</v>
      </c>
      <c r="H80" s="1" t="s">
        <v>434</v>
      </c>
      <c r="I80" s="1" t="s">
        <v>605</v>
      </c>
      <c r="J80" s="1" t="s">
        <v>604</v>
      </c>
      <c r="K80" s="1" t="s">
        <v>606</v>
      </c>
      <c r="L80" s="1" t="s">
        <v>121</v>
      </c>
      <c r="M80" s="1" t="s">
        <v>51</v>
      </c>
      <c r="N80" s="1"/>
      <c r="O80" s="1">
        <f t="shared" si="1"/>
        <v>0</v>
      </c>
      <c r="P80" s="1" t="s">
        <v>452</v>
      </c>
    </row>
    <row r="81" spans="1:16" ht="69.25" customHeight="1">
      <c r="A81" s="1" t="s">
        <v>9</v>
      </c>
      <c r="B81" s="1" t="s">
        <v>10</v>
      </c>
      <c r="C81" s="1">
        <v>2025</v>
      </c>
      <c r="D81" s="1" t="s">
        <v>8</v>
      </c>
      <c r="E81" s="1" t="s">
        <v>106</v>
      </c>
      <c r="F81" s="1" t="s">
        <v>107</v>
      </c>
      <c r="G81" s="1">
        <v>0</v>
      </c>
      <c r="H81" s="1" t="s">
        <v>434</v>
      </c>
      <c r="I81" s="1" t="s">
        <v>616</v>
      </c>
      <c r="J81" s="1" t="s">
        <v>604</v>
      </c>
      <c r="K81" s="1" t="s">
        <v>617</v>
      </c>
      <c r="L81" s="1" t="s">
        <v>121</v>
      </c>
      <c r="M81" s="1" t="s">
        <v>51</v>
      </c>
      <c r="N81" s="1"/>
      <c r="O81" s="1">
        <f t="shared" si="1"/>
        <v>0</v>
      </c>
      <c r="P81" s="1" t="s">
        <v>454</v>
      </c>
    </row>
    <row r="82" spans="1:16" ht="69.25" customHeight="1">
      <c r="A82" s="1" t="s">
        <v>9</v>
      </c>
      <c r="B82" s="1" t="s">
        <v>12</v>
      </c>
      <c r="C82" s="1">
        <v>2022</v>
      </c>
      <c r="D82" s="1" t="s">
        <v>8</v>
      </c>
      <c r="E82" s="1" t="s">
        <v>70</v>
      </c>
      <c r="F82" s="1" t="s">
        <v>71</v>
      </c>
      <c r="G82" s="1">
        <v>0</v>
      </c>
      <c r="H82" s="1" t="s">
        <v>445</v>
      </c>
      <c r="I82" s="1" t="s">
        <v>618</v>
      </c>
      <c r="J82" s="1" t="s">
        <v>619</v>
      </c>
      <c r="K82" s="1" t="s">
        <v>620</v>
      </c>
      <c r="L82" s="1" t="s">
        <v>123</v>
      </c>
      <c r="M82" s="1" t="s">
        <v>51</v>
      </c>
      <c r="N82" s="1"/>
      <c r="O82" s="1">
        <f t="shared" si="1"/>
        <v>0</v>
      </c>
      <c r="P82" s="1" t="s">
        <v>448</v>
      </c>
    </row>
    <row r="83" spans="1:16" ht="69.25" customHeight="1">
      <c r="A83" s="1" t="s">
        <v>9</v>
      </c>
      <c r="B83" s="1" t="s">
        <v>12</v>
      </c>
      <c r="C83" s="1">
        <v>2022</v>
      </c>
      <c r="D83" s="1" t="s">
        <v>8</v>
      </c>
      <c r="E83" s="1" t="s">
        <v>74</v>
      </c>
      <c r="F83" s="1" t="s">
        <v>75</v>
      </c>
      <c r="G83" s="1">
        <v>0</v>
      </c>
      <c r="H83" s="1" t="s">
        <v>434</v>
      </c>
      <c r="I83" s="1" t="s">
        <v>621</v>
      </c>
      <c r="J83" s="1" t="s">
        <v>619</v>
      </c>
      <c r="K83" s="1" t="s">
        <v>622</v>
      </c>
      <c r="L83" s="1" t="s">
        <v>123</v>
      </c>
      <c r="M83" s="1" t="s">
        <v>51</v>
      </c>
      <c r="N83" s="1"/>
      <c r="O83" s="1">
        <f t="shared" si="1"/>
        <v>0</v>
      </c>
      <c r="P83" s="1" t="s">
        <v>437</v>
      </c>
    </row>
    <row r="84" spans="1:16" ht="69.25" customHeight="1">
      <c r="A84" s="1" t="s">
        <v>9</v>
      </c>
      <c r="B84" s="1" t="s">
        <v>12</v>
      </c>
      <c r="C84" s="1">
        <v>2022</v>
      </c>
      <c r="D84" s="1" t="s">
        <v>8</v>
      </c>
      <c r="E84" s="1" t="s">
        <v>78</v>
      </c>
      <c r="F84" s="1" t="s">
        <v>79</v>
      </c>
      <c r="G84" s="1">
        <v>0</v>
      </c>
      <c r="H84" s="1" t="s">
        <v>434</v>
      </c>
      <c r="I84" s="1" t="s">
        <v>623</v>
      </c>
      <c r="J84" s="1" t="s">
        <v>619</v>
      </c>
      <c r="K84" s="1" t="s">
        <v>624</v>
      </c>
      <c r="L84" s="1" t="s">
        <v>123</v>
      </c>
      <c r="M84" s="1" t="s">
        <v>51</v>
      </c>
      <c r="N84" s="1"/>
      <c r="O84" s="1">
        <f t="shared" si="1"/>
        <v>0</v>
      </c>
      <c r="P84" s="1" t="s">
        <v>439</v>
      </c>
    </row>
    <row r="85" spans="1:16" ht="69.25" customHeight="1">
      <c r="A85" s="1" t="s">
        <v>9</v>
      </c>
      <c r="B85" s="1" t="s">
        <v>12</v>
      </c>
      <c r="C85" s="1">
        <v>2022</v>
      </c>
      <c r="D85" s="1" t="s">
        <v>8</v>
      </c>
      <c r="E85" s="1" t="s">
        <v>82</v>
      </c>
      <c r="F85" s="1" t="s">
        <v>83</v>
      </c>
      <c r="G85" s="1">
        <v>1</v>
      </c>
      <c r="H85" s="1" t="s">
        <v>429</v>
      </c>
      <c r="I85" s="1" t="s">
        <v>625</v>
      </c>
      <c r="J85" s="1" t="s">
        <v>619</v>
      </c>
      <c r="K85" s="1" t="s">
        <v>443</v>
      </c>
      <c r="L85" s="1" t="s">
        <v>123</v>
      </c>
      <c r="M85" s="1" t="s">
        <v>51</v>
      </c>
      <c r="N85" s="1"/>
      <c r="O85" s="1">
        <f t="shared" si="1"/>
        <v>1</v>
      </c>
      <c r="P85" s="1" t="s">
        <v>465</v>
      </c>
    </row>
    <row r="86" spans="1:16" ht="69.25" customHeight="1">
      <c r="A86" s="1" t="s">
        <v>9</v>
      </c>
      <c r="B86" s="1" t="s">
        <v>12</v>
      </c>
      <c r="C86" s="1">
        <v>2022</v>
      </c>
      <c r="D86" s="1" t="s">
        <v>8</v>
      </c>
      <c r="E86" s="1" t="s">
        <v>86</v>
      </c>
      <c r="F86" s="1" t="s">
        <v>87</v>
      </c>
      <c r="G86" s="1">
        <v>1</v>
      </c>
      <c r="H86" s="1" t="s">
        <v>429</v>
      </c>
      <c r="I86" s="1" t="s">
        <v>626</v>
      </c>
      <c r="J86" s="1" t="s">
        <v>619</v>
      </c>
      <c r="K86" s="1" t="s">
        <v>624</v>
      </c>
      <c r="L86" s="1" t="s">
        <v>123</v>
      </c>
      <c r="M86" s="1" t="s">
        <v>51</v>
      </c>
      <c r="N86" s="1"/>
      <c r="O86" s="1">
        <f t="shared" si="1"/>
        <v>1</v>
      </c>
      <c r="P86" s="1" t="s">
        <v>467</v>
      </c>
    </row>
    <row r="87" spans="1:16" ht="69.25" customHeight="1">
      <c r="A87" s="1" t="s">
        <v>9</v>
      </c>
      <c r="B87" s="1" t="s">
        <v>12</v>
      </c>
      <c r="C87" s="1">
        <v>2022</v>
      </c>
      <c r="D87" s="1" t="s">
        <v>8</v>
      </c>
      <c r="E87" s="1" t="s">
        <v>90</v>
      </c>
      <c r="F87" s="1" t="s">
        <v>91</v>
      </c>
      <c r="G87" s="1">
        <v>0</v>
      </c>
      <c r="H87" s="1" t="s">
        <v>445</v>
      </c>
      <c r="I87" s="1" t="s">
        <v>627</v>
      </c>
      <c r="J87" s="1" t="s">
        <v>619</v>
      </c>
      <c r="K87" s="1" t="s">
        <v>546</v>
      </c>
      <c r="L87" s="1" t="s">
        <v>123</v>
      </c>
      <c r="M87" s="1" t="s">
        <v>51</v>
      </c>
      <c r="N87" s="1"/>
      <c r="O87" s="1">
        <f t="shared" si="1"/>
        <v>0</v>
      </c>
      <c r="P87" s="1" t="s">
        <v>448</v>
      </c>
    </row>
    <row r="88" spans="1:16" ht="69.25" customHeight="1">
      <c r="A88" s="1" t="s">
        <v>9</v>
      </c>
      <c r="B88" s="1" t="s">
        <v>12</v>
      </c>
      <c r="C88" s="1">
        <v>2022</v>
      </c>
      <c r="D88" s="1" t="s">
        <v>8</v>
      </c>
      <c r="E88" s="1" t="s">
        <v>94</v>
      </c>
      <c r="F88" s="1" t="s">
        <v>95</v>
      </c>
      <c r="G88" s="1">
        <v>0</v>
      </c>
      <c r="H88" s="1" t="s">
        <v>445</v>
      </c>
      <c r="I88" s="1" t="s">
        <v>628</v>
      </c>
      <c r="J88" s="1" t="s">
        <v>619</v>
      </c>
      <c r="K88" s="1" t="s">
        <v>629</v>
      </c>
      <c r="L88" s="1" t="s">
        <v>123</v>
      </c>
      <c r="M88" s="1" t="s">
        <v>51</v>
      </c>
      <c r="N88" s="1"/>
      <c r="O88" s="1">
        <f t="shared" si="1"/>
        <v>0</v>
      </c>
      <c r="P88" s="1" t="s">
        <v>448</v>
      </c>
    </row>
    <row r="89" spans="1:16" ht="69.25" customHeight="1">
      <c r="A89" s="1" t="s">
        <v>9</v>
      </c>
      <c r="B89" s="1" t="s">
        <v>12</v>
      </c>
      <c r="C89" s="1">
        <v>2022</v>
      </c>
      <c r="D89" s="1" t="s">
        <v>8</v>
      </c>
      <c r="E89" s="1" t="s">
        <v>98</v>
      </c>
      <c r="F89" s="1" t="s">
        <v>99</v>
      </c>
      <c r="G89" s="1">
        <v>0</v>
      </c>
      <c r="H89" s="1" t="s">
        <v>434</v>
      </c>
      <c r="I89" s="1" t="s">
        <v>630</v>
      </c>
      <c r="J89" s="1" t="s">
        <v>619</v>
      </c>
      <c r="K89" s="1" t="s">
        <v>631</v>
      </c>
      <c r="L89" s="1" t="s">
        <v>123</v>
      </c>
      <c r="M89" s="1" t="s">
        <v>51</v>
      </c>
      <c r="N89" s="1"/>
      <c r="O89" s="1">
        <f t="shared" si="1"/>
        <v>0</v>
      </c>
      <c r="P89" s="1" t="s">
        <v>472</v>
      </c>
    </row>
    <row r="90" spans="1:16" ht="69.25" customHeight="1">
      <c r="A90" s="1" t="s">
        <v>9</v>
      </c>
      <c r="B90" s="1" t="s">
        <v>12</v>
      </c>
      <c r="C90" s="1">
        <v>2022</v>
      </c>
      <c r="D90" s="1" t="s">
        <v>8</v>
      </c>
      <c r="E90" s="1" t="s">
        <v>102</v>
      </c>
      <c r="F90" s="1" t="s">
        <v>103</v>
      </c>
      <c r="G90" s="1">
        <v>0</v>
      </c>
      <c r="H90" s="1" t="s">
        <v>434</v>
      </c>
      <c r="I90" s="1" t="s">
        <v>621</v>
      </c>
      <c r="J90" s="1" t="s">
        <v>619</v>
      </c>
      <c r="K90" s="1" t="s">
        <v>622</v>
      </c>
      <c r="L90" s="1" t="s">
        <v>123</v>
      </c>
      <c r="M90" s="1" t="s">
        <v>51</v>
      </c>
      <c r="N90" s="1"/>
      <c r="O90" s="1">
        <f t="shared" si="1"/>
        <v>0</v>
      </c>
      <c r="P90" s="1" t="s">
        <v>452</v>
      </c>
    </row>
    <row r="91" spans="1:16" ht="69.25" customHeight="1">
      <c r="A91" s="1" t="s">
        <v>9</v>
      </c>
      <c r="B91" s="1" t="s">
        <v>12</v>
      </c>
      <c r="C91" s="1">
        <v>2022</v>
      </c>
      <c r="D91" s="1" t="s">
        <v>8</v>
      </c>
      <c r="E91" s="1" t="s">
        <v>106</v>
      </c>
      <c r="F91" s="1" t="s">
        <v>107</v>
      </c>
      <c r="G91" s="1">
        <v>0</v>
      </c>
      <c r="H91" s="1" t="s">
        <v>434</v>
      </c>
      <c r="I91" s="1" t="s">
        <v>632</v>
      </c>
      <c r="J91" s="1" t="s">
        <v>619</v>
      </c>
      <c r="K91" s="1" t="s">
        <v>633</v>
      </c>
      <c r="L91" s="1" t="s">
        <v>123</v>
      </c>
      <c r="M91" s="1" t="s">
        <v>51</v>
      </c>
      <c r="N91" s="1"/>
      <c r="O91" s="1">
        <f t="shared" si="1"/>
        <v>0</v>
      </c>
      <c r="P91" s="1" t="s">
        <v>454</v>
      </c>
    </row>
    <row r="92" spans="1:16" ht="69.25" customHeight="1">
      <c r="A92" s="1" t="s">
        <v>9</v>
      </c>
      <c r="B92" s="1" t="s">
        <v>12</v>
      </c>
      <c r="C92" s="1">
        <v>2023</v>
      </c>
      <c r="D92" s="1" t="s">
        <v>8</v>
      </c>
      <c r="E92" s="1" t="s">
        <v>70</v>
      </c>
      <c r="F92" s="1" t="s">
        <v>71</v>
      </c>
      <c r="G92" s="1">
        <v>1</v>
      </c>
      <c r="H92" s="1" t="s">
        <v>429</v>
      </c>
      <c r="I92" s="1" t="s">
        <v>634</v>
      </c>
      <c r="J92" s="1" t="s">
        <v>635</v>
      </c>
      <c r="K92" s="1" t="s">
        <v>620</v>
      </c>
      <c r="L92" s="1" t="s">
        <v>123</v>
      </c>
      <c r="M92" s="1" t="s">
        <v>51</v>
      </c>
      <c r="N92" s="1"/>
      <c r="O92" s="1">
        <f t="shared" si="1"/>
        <v>1</v>
      </c>
      <c r="P92" s="1" t="s">
        <v>433</v>
      </c>
    </row>
    <row r="93" spans="1:16" ht="69.25" customHeight="1">
      <c r="A93" s="1" t="s">
        <v>9</v>
      </c>
      <c r="B93" s="1" t="s">
        <v>12</v>
      </c>
      <c r="C93" s="1">
        <v>2023</v>
      </c>
      <c r="D93" s="1" t="s">
        <v>8</v>
      </c>
      <c r="E93" s="1" t="s">
        <v>74</v>
      </c>
      <c r="F93" s="1" t="s">
        <v>75</v>
      </c>
      <c r="G93" s="1">
        <v>0</v>
      </c>
      <c r="H93" s="1" t="s">
        <v>434</v>
      </c>
      <c r="I93" s="1" t="s">
        <v>636</v>
      </c>
      <c r="J93" s="1" t="s">
        <v>635</v>
      </c>
      <c r="K93" s="1" t="s">
        <v>637</v>
      </c>
      <c r="L93" s="1" t="s">
        <v>123</v>
      </c>
      <c r="M93" s="1" t="s">
        <v>51</v>
      </c>
      <c r="N93" s="1"/>
      <c r="O93" s="1">
        <f t="shared" si="1"/>
        <v>0</v>
      </c>
      <c r="P93" s="1" t="s">
        <v>437</v>
      </c>
    </row>
    <row r="94" spans="1:16" ht="69.25" customHeight="1">
      <c r="A94" s="1" t="s">
        <v>9</v>
      </c>
      <c r="B94" s="1" t="s">
        <v>12</v>
      </c>
      <c r="C94" s="1">
        <v>2023</v>
      </c>
      <c r="D94" s="1" t="s">
        <v>8</v>
      </c>
      <c r="E94" s="1" t="s">
        <v>78</v>
      </c>
      <c r="F94" s="1" t="s">
        <v>79</v>
      </c>
      <c r="G94" s="1">
        <v>0</v>
      </c>
      <c r="H94" s="1" t="s">
        <v>434</v>
      </c>
      <c r="I94" s="1" t="s">
        <v>438</v>
      </c>
      <c r="J94" s="1" t="s">
        <v>635</v>
      </c>
      <c r="K94" s="1"/>
      <c r="L94" s="1" t="s">
        <v>123</v>
      </c>
      <c r="M94" s="1" t="s">
        <v>51</v>
      </c>
      <c r="N94" s="1"/>
      <c r="O94" s="1">
        <f t="shared" si="1"/>
        <v>0</v>
      </c>
      <c r="P94" s="1" t="s">
        <v>439</v>
      </c>
    </row>
    <row r="95" spans="1:16" ht="69.25" customHeight="1">
      <c r="A95" s="1" t="s">
        <v>9</v>
      </c>
      <c r="B95" s="1" t="s">
        <v>12</v>
      </c>
      <c r="C95" s="1">
        <v>2023</v>
      </c>
      <c r="D95" s="1" t="s">
        <v>8</v>
      </c>
      <c r="E95" s="1" t="s">
        <v>82</v>
      </c>
      <c r="F95" s="1" t="s">
        <v>83</v>
      </c>
      <c r="G95" s="1">
        <v>1</v>
      </c>
      <c r="H95" s="1" t="s">
        <v>429</v>
      </c>
      <c r="I95" s="1" t="s">
        <v>638</v>
      </c>
      <c r="J95" s="1" t="s">
        <v>635</v>
      </c>
      <c r="K95" s="1" t="s">
        <v>639</v>
      </c>
      <c r="L95" s="1" t="s">
        <v>123</v>
      </c>
      <c r="M95" s="1" t="s">
        <v>51</v>
      </c>
      <c r="N95" s="1"/>
      <c r="O95" s="1">
        <f t="shared" si="1"/>
        <v>1</v>
      </c>
      <c r="P95" s="1" t="s">
        <v>465</v>
      </c>
    </row>
    <row r="96" spans="1:16" ht="69.25" customHeight="1">
      <c r="A96" s="1" t="s">
        <v>9</v>
      </c>
      <c r="B96" s="1" t="s">
        <v>12</v>
      </c>
      <c r="C96" s="1">
        <v>2023</v>
      </c>
      <c r="D96" s="1" t="s">
        <v>8</v>
      </c>
      <c r="E96" s="1" t="s">
        <v>86</v>
      </c>
      <c r="F96" s="1" t="s">
        <v>87</v>
      </c>
      <c r="G96" s="1">
        <v>1</v>
      </c>
      <c r="H96" s="1" t="s">
        <v>429</v>
      </c>
      <c r="I96" s="1" t="s">
        <v>640</v>
      </c>
      <c r="J96" s="1" t="s">
        <v>635</v>
      </c>
      <c r="K96" s="1" t="s">
        <v>639</v>
      </c>
      <c r="L96" s="1" t="s">
        <v>123</v>
      </c>
      <c r="M96" s="1" t="s">
        <v>51</v>
      </c>
      <c r="N96" s="1"/>
      <c r="O96" s="1">
        <f t="shared" si="1"/>
        <v>1</v>
      </c>
      <c r="P96" s="1" t="s">
        <v>467</v>
      </c>
    </row>
    <row r="97" spans="1:16" ht="69.25" customHeight="1">
      <c r="A97" s="1" t="s">
        <v>9</v>
      </c>
      <c r="B97" s="1" t="s">
        <v>12</v>
      </c>
      <c r="C97" s="1">
        <v>2023</v>
      </c>
      <c r="D97" s="1" t="s">
        <v>8</v>
      </c>
      <c r="E97" s="1" t="s">
        <v>90</v>
      </c>
      <c r="F97" s="1" t="s">
        <v>91</v>
      </c>
      <c r="G97" s="1">
        <v>0</v>
      </c>
      <c r="H97" s="1" t="s">
        <v>434</v>
      </c>
      <c r="I97" s="1" t="s">
        <v>641</v>
      </c>
      <c r="J97" s="1" t="s">
        <v>635</v>
      </c>
      <c r="K97" s="1" t="s">
        <v>546</v>
      </c>
      <c r="L97" s="1" t="s">
        <v>123</v>
      </c>
      <c r="M97" s="1" t="s">
        <v>51</v>
      </c>
      <c r="N97" s="1"/>
      <c r="O97" s="1">
        <f t="shared" si="1"/>
        <v>0</v>
      </c>
      <c r="P97" s="1" t="s">
        <v>444</v>
      </c>
    </row>
    <row r="98" spans="1:16" ht="69.25" customHeight="1">
      <c r="A98" s="1" t="s">
        <v>9</v>
      </c>
      <c r="B98" s="1" t="s">
        <v>12</v>
      </c>
      <c r="C98" s="1">
        <v>2023</v>
      </c>
      <c r="D98" s="1" t="s">
        <v>8</v>
      </c>
      <c r="E98" s="1" t="s">
        <v>94</v>
      </c>
      <c r="F98" s="1" t="s">
        <v>95</v>
      </c>
      <c r="G98" s="1">
        <v>1</v>
      </c>
      <c r="H98" s="1" t="s">
        <v>429</v>
      </c>
      <c r="I98" s="1" t="s">
        <v>642</v>
      </c>
      <c r="J98" s="1" t="s">
        <v>635</v>
      </c>
      <c r="K98" s="1" t="s">
        <v>629</v>
      </c>
      <c r="L98" s="1" t="s">
        <v>123</v>
      </c>
      <c r="M98" s="1" t="s">
        <v>51</v>
      </c>
      <c r="N98" s="1"/>
      <c r="O98" s="1">
        <f t="shared" si="1"/>
        <v>1</v>
      </c>
      <c r="P98" s="1" t="s">
        <v>643</v>
      </c>
    </row>
    <row r="99" spans="1:16" ht="69.25" customHeight="1">
      <c r="A99" s="1" t="s">
        <v>9</v>
      </c>
      <c r="B99" s="1" t="s">
        <v>12</v>
      </c>
      <c r="C99" s="1">
        <v>2023</v>
      </c>
      <c r="D99" s="1" t="s">
        <v>8</v>
      </c>
      <c r="E99" s="1" t="s">
        <v>98</v>
      </c>
      <c r="F99" s="1" t="s">
        <v>99</v>
      </c>
      <c r="G99" s="1">
        <v>0</v>
      </c>
      <c r="H99" s="1" t="s">
        <v>434</v>
      </c>
      <c r="I99" s="1" t="s">
        <v>644</v>
      </c>
      <c r="J99" s="1" t="s">
        <v>635</v>
      </c>
      <c r="K99" s="1" t="s">
        <v>645</v>
      </c>
      <c r="L99" s="1" t="s">
        <v>123</v>
      </c>
      <c r="M99" s="1" t="s">
        <v>51</v>
      </c>
      <c r="N99" s="1"/>
      <c r="O99" s="1">
        <f t="shared" si="1"/>
        <v>0</v>
      </c>
      <c r="P99" s="1" t="s">
        <v>472</v>
      </c>
    </row>
    <row r="100" spans="1:16" ht="69.25" customHeight="1">
      <c r="A100" s="1" t="s">
        <v>9</v>
      </c>
      <c r="B100" s="1" t="s">
        <v>12</v>
      </c>
      <c r="C100" s="1">
        <v>2023</v>
      </c>
      <c r="D100" s="1" t="s">
        <v>8</v>
      </c>
      <c r="E100" s="1" t="s">
        <v>102</v>
      </c>
      <c r="F100" s="1" t="s">
        <v>103</v>
      </c>
      <c r="G100" s="1">
        <v>0</v>
      </c>
      <c r="H100" s="1" t="s">
        <v>434</v>
      </c>
      <c r="I100" s="1" t="s">
        <v>636</v>
      </c>
      <c r="J100" s="1" t="s">
        <v>635</v>
      </c>
      <c r="K100" s="1" t="s">
        <v>637</v>
      </c>
      <c r="L100" s="1" t="s">
        <v>123</v>
      </c>
      <c r="M100" s="1" t="s">
        <v>51</v>
      </c>
      <c r="N100" s="1"/>
      <c r="O100" s="1">
        <f t="shared" si="1"/>
        <v>0</v>
      </c>
      <c r="P100" s="1" t="s">
        <v>452</v>
      </c>
    </row>
    <row r="101" spans="1:16" ht="69.25" customHeight="1">
      <c r="A101" s="1" t="s">
        <v>9</v>
      </c>
      <c r="B101" s="1" t="s">
        <v>12</v>
      </c>
      <c r="C101" s="1">
        <v>2023</v>
      </c>
      <c r="D101" s="1" t="s">
        <v>8</v>
      </c>
      <c r="E101" s="1" t="s">
        <v>106</v>
      </c>
      <c r="F101" s="1" t="s">
        <v>107</v>
      </c>
      <c r="G101" s="1">
        <v>0</v>
      </c>
      <c r="H101" s="1" t="s">
        <v>434</v>
      </c>
      <c r="I101" s="1" t="s">
        <v>646</v>
      </c>
      <c r="J101" s="1" t="s">
        <v>635</v>
      </c>
      <c r="K101" s="1" t="s">
        <v>546</v>
      </c>
      <c r="L101" s="1" t="s">
        <v>123</v>
      </c>
      <c r="M101" s="1" t="s">
        <v>51</v>
      </c>
      <c r="N101" s="1"/>
      <c r="O101" s="1">
        <f t="shared" si="1"/>
        <v>0</v>
      </c>
      <c r="P101" s="1" t="s">
        <v>454</v>
      </c>
    </row>
    <row r="102" spans="1:16" ht="69.25" customHeight="1">
      <c r="A102" s="1" t="s">
        <v>9</v>
      </c>
      <c r="B102" s="1" t="s">
        <v>12</v>
      </c>
      <c r="C102" s="1">
        <v>2024</v>
      </c>
      <c r="D102" s="1" t="s">
        <v>8</v>
      </c>
      <c r="E102" s="1" t="s">
        <v>70</v>
      </c>
      <c r="F102" s="1" t="s">
        <v>71</v>
      </c>
      <c r="G102" s="1">
        <v>1</v>
      </c>
      <c r="H102" s="1" t="s">
        <v>478</v>
      </c>
      <c r="I102" s="1" t="s">
        <v>647</v>
      </c>
      <c r="J102" s="1" t="s">
        <v>648</v>
      </c>
      <c r="K102" s="1" t="s">
        <v>649</v>
      </c>
      <c r="L102" s="1" t="s">
        <v>650</v>
      </c>
      <c r="M102" s="1" t="s">
        <v>51</v>
      </c>
      <c r="N102" s="1"/>
      <c r="O102" s="1">
        <f t="shared" si="1"/>
        <v>1</v>
      </c>
      <c r="P102" s="1" t="s">
        <v>483</v>
      </c>
    </row>
    <row r="103" spans="1:16" ht="69.25" customHeight="1">
      <c r="A103" s="1" t="s">
        <v>9</v>
      </c>
      <c r="B103" s="1" t="s">
        <v>12</v>
      </c>
      <c r="C103" s="1">
        <v>2024</v>
      </c>
      <c r="D103" s="1" t="s">
        <v>8</v>
      </c>
      <c r="E103" s="1" t="s">
        <v>74</v>
      </c>
      <c r="F103" s="1" t="s">
        <v>75</v>
      </c>
      <c r="G103" s="1">
        <v>1</v>
      </c>
      <c r="H103" s="1" t="s">
        <v>478</v>
      </c>
      <c r="I103" s="1" t="s">
        <v>651</v>
      </c>
      <c r="J103" s="1" t="s">
        <v>652</v>
      </c>
      <c r="K103" s="1" t="s">
        <v>653</v>
      </c>
      <c r="L103" s="1" t="s">
        <v>654</v>
      </c>
      <c r="M103" s="1" t="s">
        <v>51</v>
      </c>
      <c r="N103" s="1"/>
      <c r="O103" s="1">
        <f t="shared" si="1"/>
        <v>1</v>
      </c>
      <c r="P103" s="1" t="s">
        <v>655</v>
      </c>
    </row>
    <row r="104" spans="1:16" ht="69.25" customHeight="1">
      <c r="A104" s="1" t="s">
        <v>9</v>
      </c>
      <c r="B104" s="1" t="s">
        <v>12</v>
      </c>
      <c r="C104" s="1">
        <v>2024</v>
      </c>
      <c r="D104" s="1" t="s">
        <v>8</v>
      </c>
      <c r="E104" s="1" t="s">
        <v>78</v>
      </c>
      <c r="F104" s="1" t="s">
        <v>79</v>
      </c>
      <c r="G104" s="1">
        <v>0</v>
      </c>
      <c r="H104" s="1" t="s">
        <v>486</v>
      </c>
      <c r="I104" s="1" t="s">
        <v>656</v>
      </c>
      <c r="J104" s="1" t="s">
        <v>488</v>
      </c>
      <c r="K104" s="1" t="s">
        <v>657</v>
      </c>
      <c r="L104" s="1" t="s">
        <v>490</v>
      </c>
      <c r="M104" s="1" t="s">
        <v>51</v>
      </c>
      <c r="N104" s="1"/>
      <c r="O104" s="1">
        <f t="shared" si="1"/>
        <v>0</v>
      </c>
      <c r="P104" s="1" t="s">
        <v>658</v>
      </c>
    </row>
    <row r="105" spans="1:16" ht="69.25" customHeight="1">
      <c r="A105" s="1" t="s">
        <v>9</v>
      </c>
      <c r="B105" s="1" t="s">
        <v>12</v>
      </c>
      <c r="C105" s="1">
        <v>2024</v>
      </c>
      <c r="D105" s="1" t="s">
        <v>8</v>
      </c>
      <c r="E105" s="1" t="s">
        <v>82</v>
      </c>
      <c r="F105" s="1" t="s">
        <v>83</v>
      </c>
      <c r="G105" s="1">
        <v>1</v>
      </c>
      <c r="H105" s="1" t="s">
        <v>478</v>
      </c>
      <c r="I105" s="1" t="s">
        <v>659</v>
      </c>
      <c r="J105" s="1" t="s">
        <v>648</v>
      </c>
      <c r="K105" s="1" t="s">
        <v>660</v>
      </c>
      <c r="L105" s="1" t="s">
        <v>650</v>
      </c>
      <c r="M105" s="1" t="s">
        <v>51</v>
      </c>
      <c r="N105" s="1"/>
      <c r="O105" s="1">
        <f t="shared" si="1"/>
        <v>1</v>
      </c>
      <c r="P105" s="1" t="s">
        <v>661</v>
      </c>
    </row>
    <row r="106" spans="1:16" ht="69.25" customHeight="1">
      <c r="A106" s="1" t="s">
        <v>9</v>
      </c>
      <c r="B106" s="1" t="s">
        <v>12</v>
      </c>
      <c r="C106" s="1">
        <v>2024</v>
      </c>
      <c r="D106" s="1" t="s">
        <v>8</v>
      </c>
      <c r="E106" s="1" t="s">
        <v>86</v>
      </c>
      <c r="F106" s="1" t="s">
        <v>87</v>
      </c>
      <c r="G106" s="1">
        <v>1</v>
      </c>
      <c r="H106" s="1" t="s">
        <v>478</v>
      </c>
      <c r="I106" s="1" t="s">
        <v>662</v>
      </c>
      <c r="J106" s="1" t="s">
        <v>648</v>
      </c>
      <c r="K106" s="1" t="s">
        <v>663</v>
      </c>
      <c r="L106" s="1" t="s">
        <v>650</v>
      </c>
      <c r="M106" s="1" t="s">
        <v>51</v>
      </c>
      <c r="N106" s="1"/>
      <c r="O106" s="1">
        <f t="shared" si="1"/>
        <v>1</v>
      </c>
      <c r="P106" s="1" t="s">
        <v>664</v>
      </c>
    </row>
    <row r="107" spans="1:16" ht="69.25" customHeight="1">
      <c r="A107" s="1" t="s">
        <v>9</v>
      </c>
      <c r="B107" s="1" t="s">
        <v>12</v>
      </c>
      <c r="C107" s="1">
        <v>2024</v>
      </c>
      <c r="D107" s="1" t="s">
        <v>8</v>
      </c>
      <c r="E107" s="1" t="s">
        <v>90</v>
      </c>
      <c r="F107" s="1" t="s">
        <v>91</v>
      </c>
      <c r="G107" s="1">
        <v>1</v>
      </c>
      <c r="H107" s="1" t="s">
        <v>478</v>
      </c>
      <c r="I107" s="1" t="s">
        <v>665</v>
      </c>
      <c r="J107" s="1" t="s">
        <v>648</v>
      </c>
      <c r="K107" s="1" t="s">
        <v>666</v>
      </c>
      <c r="L107" s="1" t="s">
        <v>650</v>
      </c>
      <c r="M107" s="1" t="s">
        <v>51</v>
      </c>
      <c r="N107" s="1"/>
      <c r="O107" s="1">
        <f t="shared" si="1"/>
        <v>1</v>
      </c>
      <c r="P107" s="1" t="s">
        <v>667</v>
      </c>
    </row>
    <row r="108" spans="1:16" ht="69.25" customHeight="1">
      <c r="A108" s="1" t="s">
        <v>9</v>
      </c>
      <c r="B108" s="1" t="s">
        <v>12</v>
      </c>
      <c r="C108" s="1">
        <v>2024</v>
      </c>
      <c r="D108" s="1" t="s">
        <v>8</v>
      </c>
      <c r="E108" s="1" t="s">
        <v>94</v>
      </c>
      <c r="F108" s="1" t="s">
        <v>95</v>
      </c>
      <c r="G108" s="1">
        <v>0</v>
      </c>
      <c r="H108" s="1" t="s">
        <v>668</v>
      </c>
      <c r="I108" s="1" t="s">
        <v>669</v>
      </c>
      <c r="J108" s="1" t="s">
        <v>648</v>
      </c>
      <c r="K108" s="1" t="s">
        <v>670</v>
      </c>
      <c r="L108" s="1" t="s">
        <v>650</v>
      </c>
      <c r="M108" s="1" t="s">
        <v>51</v>
      </c>
      <c r="N108" s="1"/>
      <c r="O108" s="1">
        <f t="shared" si="1"/>
        <v>0</v>
      </c>
      <c r="P108" s="1" t="s">
        <v>671</v>
      </c>
    </row>
    <row r="109" spans="1:16" ht="69.25" customHeight="1">
      <c r="A109" s="1" t="s">
        <v>9</v>
      </c>
      <c r="B109" s="1" t="s">
        <v>12</v>
      </c>
      <c r="C109" s="1">
        <v>2024</v>
      </c>
      <c r="D109" s="1" t="s">
        <v>8</v>
      </c>
      <c r="E109" s="1" t="s">
        <v>98</v>
      </c>
      <c r="F109" s="1" t="s">
        <v>99</v>
      </c>
      <c r="G109" s="1">
        <v>1</v>
      </c>
      <c r="H109" s="1" t="s">
        <v>478</v>
      </c>
      <c r="I109" s="1" t="s">
        <v>672</v>
      </c>
      <c r="J109" s="1" t="s">
        <v>673</v>
      </c>
      <c r="K109" s="1" t="s">
        <v>674</v>
      </c>
      <c r="L109" s="1" t="s">
        <v>675</v>
      </c>
      <c r="M109" s="1" t="s">
        <v>51</v>
      </c>
      <c r="N109" s="1"/>
      <c r="O109" s="1">
        <f t="shared" si="1"/>
        <v>1</v>
      </c>
      <c r="P109" s="1" t="s">
        <v>676</v>
      </c>
    </row>
    <row r="110" spans="1:16" ht="69.25" customHeight="1">
      <c r="A110" s="1" t="s">
        <v>9</v>
      </c>
      <c r="B110" s="1" t="s">
        <v>12</v>
      </c>
      <c r="C110" s="1">
        <v>2024</v>
      </c>
      <c r="D110" s="1" t="s">
        <v>8</v>
      </c>
      <c r="E110" s="1" t="s">
        <v>102</v>
      </c>
      <c r="F110" s="1" t="s">
        <v>103</v>
      </c>
      <c r="G110" s="1">
        <v>1</v>
      </c>
      <c r="H110" s="1" t="s">
        <v>478</v>
      </c>
      <c r="I110" s="1" t="s">
        <v>677</v>
      </c>
      <c r="J110" s="1" t="s">
        <v>648</v>
      </c>
      <c r="K110" s="1" t="s">
        <v>678</v>
      </c>
      <c r="L110" s="1" t="s">
        <v>650</v>
      </c>
      <c r="M110" s="1" t="s">
        <v>51</v>
      </c>
      <c r="N110" s="1"/>
      <c r="O110" s="1">
        <f t="shared" si="1"/>
        <v>1</v>
      </c>
      <c r="P110" s="1" t="s">
        <v>679</v>
      </c>
    </row>
    <row r="111" spans="1:16" ht="69.25" customHeight="1">
      <c r="A111" s="1" t="s">
        <v>9</v>
      </c>
      <c r="B111" s="1" t="s">
        <v>12</v>
      </c>
      <c r="C111" s="1">
        <v>2024</v>
      </c>
      <c r="D111" s="1" t="s">
        <v>8</v>
      </c>
      <c r="E111" s="1" t="s">
        <v>106</v>
      </c>
      <c r="F111" s="1" t="s">
        <v>107</v>
      </c>
      <c r="G111" s="1">
        <v>1</v>
      </c>
      <c r="H111" s="1" t="s">
        <v>478</v>
      </c>
      <c r="I111" s="1" t="s">
        <v>680</v>
      </c>
      <c r="J111" s="1" t="s">
        <v>648</v>
      </c>
      <c r="K111" s="1" t="s">
        <v>681</v>
      </c>
      <c r="L111" s="1" t="s">
        <v>650</v>
      </c>
      <c r="M111" s="1" t="s">
        <v>51</v>
      </c>
      <c r="N111" s="1"/>
      <c r="O111" s="1">
        <f t="shared" si="1"/>
        <v>1</v>
      </c>
      <c r="P111" s="1" t="s">
        <v>682</v>
      </c>
    </row>
    <row r="112" spans="1:16" ht="69.25" customHeight="1">
      <c r="A112" s="1" t="s">
        <v>9</v>
      </c>
      <c r="B112" s="1" t="s">
        <v>12</v>
      </c>
      <c r="C112" s="1">
        <v>2025</v>
      </c>
      <c r="D112" s="1" t="s">
        <v>8</v>
      </c>
      <c r="E112" s="1" t="s">
        <v>70</v>
      </c>
      <c r="F112" s="1" t="s">
        <v>71</v>
      </c>
      <c r="G112" s="1">
        <v>1</v>
      </c>
      <c r="H112" s="1" t="s">
        <v>429</v>
      </c>
      <c r="I112" s="1" t="s">
        <v>683</v>
      </c>
      <c r="J112" s="1" t="s">
        <v>684</v>
      </c>
      <c r="K112" s="1" t="s">
        <v>685</v>
      </c>
      <c r="L112" s="1" t="s">
        <v>123</v>
      </c>
      <c r="M112" s="1" t="s">
        <v>51</v>
      </c>
      <c r="N112" s="1"/>
      <c r="O112" s="1">
        <f t="shared" si="1"/>
        <v>1</v>
      </c>
      <c r="P112" s="1" t="s">
        <v>433</v>
      </c>
    </row>
    <row r="113" spans="1:16" ht="69.25" customHeight="1">
      <c r="A113" s="1" t="s">
        <v>9</v>
      </c>
      <c r="B113" s="1" t="s">
        <v>12</v>
      </c>
      <c r="C113" s="1">
        <v>2025</v>
      </c>
      <c r="D113" s="1" t="s">
        <v>8</v>
      </c>
      <c r="E113" s="1" t="s">
        <v>74</v>
      </c>
      <c r="F113" s="1" t="s">
        <v>75</v>
      </c>
      <c r="G113" s="1">
        <v>0</v>
      </c>
      <c r="H113" s="1" t="s">
        <v>434</v>
      </c>
      <c r="I113" s="1" t="s">
        <v>686</v>
      </c>
      <c r="J113" s="1" t="s">
        <v>684</v>
      </c>
      <c r="K113" s="1" t="s">
        <v>687</v>
      </c>
      <c r="L113" s="1" t="s">
        <v>123</v>
      </c>
      <c r="M113" s="1" t="s">
        <v>51</v>
      </c>
      <c r="N113" s="1"/>
      <c r="O113" s="1">
        <f t="shared" si="1"/>
        <v>0</v>
      </c>
      <c r="P113" s="1" t="s">
        <v>437</v>
      </c>
    </row>
    <row r="114" spans="1:16" ht="69.25" customHeight="1">
      <c r="A114" s="1" t="s">
        <v>9</v>
      </c>
      <c r="B114" s="1" t="s">
        <v>12</v>
      </c>
      <c r="C114" s="1">
        <v>2025</v>
      </c>
      <c r="D114" s="1" t="s">
        <v>8</v>
      </c>
      <c r="E114" s="1" t="s">
        <v>78</v>
      </c>
      <c r="F114" s="1" t="s">
        <v>79</v>
      </c>
      <c r="G114" s="1">
        <v>0</v>
      </c>
      <c r="H114" s="1" t="s">
        <v>434</v>
      </c>
      <c r="I114" s="1" t="s">
        <v>688</v>
      </c>
      <c r="J114" s="1" t="s">
        <v>684</v>
      </c>
      <c r="K114" s="1" t="s">
        <v>689</v>
      </c>
      <c r="L114" s="1" t="s">
        <v>123</v>
      </c>
      <c r="M114" s="1" t="s">
        <v>51</v>
      </c>
      <c r="N114" s="1"/>
      <c r="O114" s="1">
        <f t="shared" si="1"/>
        <v>0</v>
      </c>
      <c r="P114" s="1" t="s">
        <v>439</v>
      </c>
    </row>
    <row r="115" spans="1:16" ht="69.25" customHeight="1">
      <c r="A115" s="1" t="s">
        <v>9</v>
      </c>
      <c r="B115" s="1" t="s">
        <v>12</v>
      </c>
      <c r="C115" s="1">
        <v>2025</v>
      </c>
      <c r="D115" s="1" t="s">
        <v>8</v>
      </c>
      <c r="E115" s="1" t="s">
        <v>82</v>
      </c>
      <c r="F115" s="1" t="s">
        <v>83</v>
      </c>
      <c r="G115" s="1">
        <v>1</v>
      </c>
      <c r="H115" s="1" t="s">
        <v>429</v>
      </c>
      <c r="I115" s="1" t="s">
        <v>690</v>
      </c>
      <c r="J115" s="1" t="s">
        <v>684</v>
      </c>
      <c r="K115" s="1" t="s">
        <v>691</v>
      </c>
      <c r="L115" s="1" t="s">
        <v>123</v>
      </c>
      <c r="M115" s="1" t="s">
        <v>51</v>
      </c>
      <c r="N115" s="1"/>
      <c r="O115" s="1">
        <f t="shared" si="1"/>
        <v>1</v>
      </c>
      <c r="P115" s="1" t="s">
        <v>465</v>
      </c>
    </row>
    <row r="116" spans="1:16" ht="69.25" customHeight="1">
      <c r="A116" s="1" t="s">
        <v>9</v>
      </c>
      <c r="B116" s="1" t="s">
        <v>12</v>
      </c>
      <c r="C116" s="1">
        <v>2025</v>
      </c>
      <c r="D116" s="1" t="s">
        <v>8</v>
      </c>
      <c r="E116" s="1" t="s">
        <v>86</v>
      </c>
      <c r="F116" s="1" t="s">
        <v>87</v>
      </c>
      <c r="G116" s="1">
        <v>1</v>
      </c>
      <c r="H116" s="1" t="s">
        <v>429</v>
      </c>
      <c r="I116" s="1" t="s">
        <v>692</v>
      </c>
      <c r="J116" s="1" t="s">
        <v>684</v>
      </c>
      <c r="K116" s="1" t="s">
        <v>691</v>
      </c>
      <c r="L116" s="1" t="s">
        <v>123</v>
      </c>
      <c r="M116" s="1" t="s">
        <v>51</v>
      </c>
      <c r="N116" s="1"/>
      <c r="O116" s="1">
        <f t="shared" si="1"/>
        <v>1</v>
      </c>
      <c r="P116" s="1" t="s">
        <v>467</v>
      </c>
    </row>
    <row r="117" spans="1:16" ht="69.25" customHeight="1">
      <c r="A117" s="1" t="s">
        <v>9</v>
      </c>
      <c r="B117" s="1" t="s">
        <v>12</v>
      </c>
      <c r="C117" s="1">
        <v>2025</v>
      </c>
      <c r="D117" s="1" t="s">
        <v>8</v>
      </c>
      <c r="E117" s="1" t="s">
        <v>90</v>
      </c>
      <c r="F117" s="1" t="s">
        <v>91</v>
      </c>
      <c r="G117" s="1">
        <v>0</v>
      </c>
      <c r="H117" s="1" t="s">
        <v>434</v>
      </c>
      <c r="I117" s="1" t="s">
        <v>690</v>
      </c>
      <c r="J117" s="1" t="s">
        <v>684</v>
      </c>
      <c r="K117" s="1" t="s">
        <v>691</v>
      </c>
      <c r="L117" s="1" t="s">
        <v>123</v>
      </c>
      <c r="M117" s="1" t="s">
        <v>51</v>
      </c>
      <c r="N117" s="1"/>
      <c r="O117" s="1">
        <f t="shared" si="1"/>
        <v>0</v>
      </c>
      <c r="P117" s="1" t="s">
        <v>444</v>
      </c>
    </row>
    <row r="118" spans="1:16" ht="69.25" customHeight="1">
      <c r="A118" s="1" t="s">
        <v>9</v>
      </c>
      <c r="B118" s="1" t="s">
        <v>12</v>
      </c>
      <c r="C118" s="1">
        <v>2025</v>
      </c>
      <c r="D118" s="1" t="s">
        <v>8</v>
      </c>
      <c r="E118" s="1" t="s">
        <v>94</v>
      </c>
      <c r="F118" s="1" t="s">
        <v>95</v>
      </c>
      <c r="G118" s="1">
        <v>0</v>
      </c>
      <c r="H118" s="1" t="s">
        <v>445</v>
      </c>
      <c r="I118" s="1" t="s">
        <v>693</v>
      </c>
      <c r="J118" s="1" t="s">
        <v>684</v>
      </c>
      <c r="K118" s="1" t="s">
        <v>691</v>
      </c>
      <c r="L118" s="1" t="s">
        <v>123</v>
      </c>
      <c r="M118" s="1" t="s">
        <v>51</v>
      </c>
      <c r="N118" s="1"/>
      <c r="O118" s="1">
        <f t="shared" si="1"/>
        <v>0</v>
      </c>
      <c r="P118" s="1" t="s">
        <v>448</v>
      </c>
    </row>
    <row r="119" spans="1:16" ht="69.25" customHeight="1">
      <c r="A119" s="1" t="s">
        <v>9</v>
      </c>
      <c r="B119" s="1" t="s">
        <v>12</v>
      </c>
      <c r="C119" s="1">
        <v>2025</v>
      </c>
      <c r="D119" s="1" t="s">
        <v>8</v>
      </c>
      <c r="E119" s="1" t="s">
        <v>98</v>
      </c>
      <c r="F119" s="1" t="s">
        <v>99</v>
      </c>
      <c r="G119" s="1">
        <v>0</v>
      </c>
      <c r="H119" s="1" t="s">
        <v>434</v>
      </c>
      <c r="I119" s="1" t="s">
        <v>694</v>
      </c>
      <c r="J119" s="1" t="s">
        <v>684</v>
      </c>
      <c r="K119" s="1" t="s">
        <v>450</v>
      </c>
      <c r="L119" s="1" t="s">
        <v>123</v>
      </c>
      <c r="M119" s="1" t="s">
        <v>51</v>
      </c>
      <c r="N119" s="1"/>
      <c r="O119" s="1">
        <f t="shared" si="1"/>
        <v>0</v>
      </c>
      <c r="P119" s="1" t="s">
        <v>472</v>
      </c>
    </row>
    <row r="120" spans="1:16" ht="69.25" customHeight="1">
      <c r="A120" s="1" t="s">
        <v>9</v>
      </c>
      <c r="B120" s="1" t="s">
        <v>12</v>
      </c>
      <c r="C120" s="1">
        <v>2025</v>
      </c>
      <c r="D120" s="1" t="s">
        <v>8</v>
      </c>
      <c r="E120" s="1" t="s">
        <v>102</v>
      </c>
      <c r="F120" s="1" t="s">
        <v>103</v>
      </c>
      <c r="G120" s="1">
        <v>0</v>
      </c>
      <c r="H120" s="1" t="s">
        <v>434</v>
      </c>
      <c r="I120" s="1" t="s">
        <v>686</v>
      </c>
      <c r="J120" s="1" t="s">
        <v>684</v>
      </c>
      <c r="K120" s="1" t="s">
        <v>687</v>
      </c>
      <c r="L120" s="1" t="s">
        <v>123</v>
      </c>
      <c r="M120" s="1" t="s">
        <v>51</v>
      </c>
      <c r="N120" s="1"/>
      <c r="O120" s="1">
        <f t="shared" si="1"/>
        <v>0</v>
      </c>
      <c r="P120" s="1" t="s">
        <v>452</v>
      </c>
    </row>
    <row r="121" spans="1:16" ht="69.25" customHeight="1">
      <c r="A121" s="1" t="s">
        <v>9</v>
      </c>
      <c r="B121" s="1" t="s">
        <v>12</v>
      </c>
      <c r="C121" s="1">
        <v>2025</v>
      </c>
      <c r="D121" s="1" t="s">
        <v>8</v>
      </c>
      <c r="E121" s="1" t="s">
        <v>106</v>
      </c>
      <c r="F121" s="1" t="s">
        <v>107</v>
      </c>
      <c r="G121" s="1">
        <v>0</v>
      </c>
      <c r="H121" s="1" t="s">
        <v>434</v>
      </c>
      <c r="I121" s="1" t="s">
        <v>695</v>
      </c>
      <c r="J121" s="1" t="s">
        <v>684</v>
      </c>
      <c r="K121" s="1" t="s">
        <v>696</v>
      </c>
      <c r="L121" s="1" t="s">
        <v>123</v>
      </c>
      <c r="M121" s="1" t="s">
        <v>51</v>
      </c>
      <c r="N121" s="1"/>
      <c r="O121" s="1">
        <f t="shared" si="1"/>
        <v>0</v>
      </c>
      <c r="P121" s="1" t="s">
        <v>454</v>
      </c>
    </row>
    <row r="122" spans="1:16" ht="69.25" customHeight="1">
      <c r="A122" s="1" t="s">
        <v>9</v>
      </c>
      <c r="B122" s="1" t="s">
        <v>14</v>
      </c>
      <c r="C122" s="1">
        <v>2022</v>
      </c>
      <c r="D122" s="1" t="s">
        <v>8</v>
      </c>
      <c r="E122" s="1" t="s">
        <v>70</v>
      </c>
      <c r="F122" s="1" t="s">
        <v>71</v>
      </c>
      <c r="G122" s="1">
        <v>0</v>
      </c>
      <c r="H122" s="1" t="s">
        <v>434</v>
      </c>
      <c r="I122" s="1" t="s">
        <v>697</v>
      </c>
      <c r="J122" s="1" t="s">
        <v>698</v>
      </c>
      <c r="K122" s="1" t="s">
        <v>699</v>
      </c>
      <c r="L122" s="1" t="s">
        <v>124</v>
      </c>
      <c r="M122" s="1" t="s">
        <v>51</v>
      </c>
      <c r="N122" s="1"/>
      <c r="O122" s="1">
        <f t="shared" si="1"/>
        <v>0</v>
      </c>
      <c r="P122" s="1" t="s">
        <v>700</v>
      </c>
    </row>
    <row r="123" spans="1:16" ht="69.25" customHeight="1">
      <c r="A123" s="1" t="s">
        <v>9</v>
      </c>
      <c r="B123" s="1" t="s">
        <v>14</v>
      </c>
      <c r="C123" s="1">
        <v>2022</v>
      </c>
      <c r="D123" s="1" t="s">
        <v>8</v>
      </c>
      <c r="E123" s="1" t="s">
        <v>74</v>
      </c>
      <c r="F123" s="1" t="s">
        <v>75</v>
      </c>
      <c r="G123" s="1">
        <v>0</v>
      </c>
      <c r="H123" s="1" t="s">
        <v>434</v>
      </c>
      <c r="I123" s="1" t="s">
        <v>701</v>
      </c>
      <c r="J123" s="1" t="s">
        <v>698</v>
      </c>
      <c r="K123" s="1" t="s">
        <v>432</v>
      </c>
      <c r="L123" s="1" t="s">
        <v>124</v>
      </c>
      <c r="M123" s="1" t="s">
        <v>51</v>
      </c>
      <c r="N123" s="1"/>
      <c r="O123" s="1">
        <f t="shared" si="1"/>
        <v>0</v>
      </c>
      <c r="P123" s="1" t="s">
        <v>437</v>
      </c>
    </row>
    <row r="124" spans="1:16" ht="69.25" customHeight="1">
      <c r="A124" s="1" t="s">
        <v>9</v>
      </c>
      <c r="B124" s="1" t="s">
        <v>14</v>
      </c>
      <c r="C124" s="1">
        <v>2022</v>
      </c>
      <c r="D124" s="1" t="s">
        <v>8</v>
      </c>
      <c r="E124" s="1" t="s">
        <v>78</v>
      </c>
      <c r="F124" s="1" t="s">
        <v>79</v>
      </c>
      <c r="G124" s="1">
        <v>0</v>
      </c>
      <c r="H124" s="1" t="s">
        <v>434</v>
      </c>
      <c r="I124" s="1" t="s">
        <v>438</v>
      </c>
      <c r="J124" s="1" t="s">
        <v>702</v>
      </c>
      <c r="K124" s="1"/>
      <c r="L124" s="1" t="s">
        <v>124</v>
      </c>
      <c r="M124" s="1" t="s">
        <v>51</v>
      </c>
      <c r="N124" s="1"/>
      <c r="O124" s="1">
        <f t="shared" si="1"/>
        <v>0</v>
      </c>
      <c r="P124" s="1" t="s">
        <v>439</v>
      </c>
    </row>
    <row r="125" spans="1:16" ht="69.25" customHeight="1">
      <c r="A125" s="1" t="s">
        <v>9</v>
      </c>
      <c r="B125" s="1" t="s">
        <v>14</v>
      </c>
      <c r="C125" s="1">
        <v>2022</v>
      </c>
      <c r="D125" s="1" t="s">
        <v>8</v>
      </c>
      <c r="E125" s="1" t="s">
        <v>82</v>
      </c>
      <c r="F125" s="1" t="s">
        <v>83</v>
      </c>
      <c r="G125" s="1">
        <v>1</v>
      </c>
      <c r="H125" s="1" t="s">
        <v>429</v>
      </c>
      <c r="I125" s="1" t="s">
        <v>703</v>
      </c>
      <c r="J125" s="1" t="s">
        <v>698</v>
      </c>
      <c r="K125" s="1" t="s">
        <v>704</v>
      </c>
      <c r="L125" s="1" t="s">
        <v>124</v>
      </c>
      <c r="M125" s="1" t="s">
        <v>51</v>
      </c>
      <c r="N125" s="1"/>
      <c r="O125" s="1">
        <f t="shared" si="1"/>
        <v>1</v>
      </c>
      <c r="P125" s="1" t="s">
        <v>465</v>
      </c>
    </row>
    <row r="126" spans="1:16" ht="69.25" customHeight="1">
      <c r="A126" s="1" t="s">
        <v>9</v>
      </c>
      <c r="B126" s="1" t="s">
        <v>14</v>
      </c>
      <c r="C126" s="1">
        <v>2022</v>
      </c>
      <c r="D126" s="1" t="s">
        <v>8</v>
      </c>
      <c r="E126" s="1" t="s">
        <v>86</v>
      </c>
      <c r="F126" s="1" t="s">
        <v>87</v>
      </c>
      <c r="G126" s="1">
        <v>1</v>
      </c>
      <c r="H126" s="1" t="s">
        <v>429</v>
      </c>
      <c r="I126" s="1" t="s">
        <v>705</v>
      </c>
      <c r="J126" s="1" t="s">
        <v>698</v>
      </c>
      <c r="K126" s="1" t="s">
        <v>704</v>
      </c>
      <c r="L126" s="1" t="s">
        <v>124</v>
      </c>
      <c r="M126" s="1" t="s">
        <v>51</v>
      </c>
      <c r="N126" s="1"/>
      <c r="O126" s="1">
        <f t="shared" si="1"/>
        <v>1</v>
      </c>
      <c r="P126" s="1" t="s">
        <v>467</v>
      </c>
    </row>
    <row r="127" spans="1:16" ht="69.25" customHeight="1">
      <c r="A127" s="1" t="s">
        <v>9</v>
      </c>
      <c r="B127" s="1" t="s">
        <v>14</v>
      </c>
      <c r="C127" s="1">
        <v>2022</v>
      </c>
      <c r="D127" s="1" t="s">
        <v>8</v>
      </c>
      <c r="E127" s="1" t="s">
        <v>90</v>
      </c>
      <c r="F127" s="1" t="s">
        <v>91</v>
      </c>
      <c r="G127" s="1">
        <v>0</v>
      </c>
      <c r="H127" s="1" t="s">
        <v>445</v>
      </c>
      <c r="I127" s="1" t="s">
        <v>703</v>
      </c>
      <c r="J127" s="1" t="s">
        <v>698</v>
      </c>
      <c r="K127" s="1" t="s">
        <v>704</v>
      </c>
      <c r="L127" s="1" t="s">
        <v>124</v>
      </c>
      <c r="M127" s="1" t="s">
        <v>51</v>
      </c>
      <c r="N127" s="1"/>
      <c r="O127" s="1">
        <f t="shared" si="1"/>
        <v>0</v>
      </c>
      <c r="P127" s="1" t="s">
        <v>448</v>
      </c>
    </row>
    <row r="128" spans="1:16" ht="69.25" customHeight="1">
      <c r="A128" s="1" t="s">
        <v>9</v>
      </c>
      <c r="B128" s="1" t="s">
        <v>14</v>
      </c>
      <c r="C128" s="1">
        <v>2022</v>
      </c>
      <c r="D128" s="1" t="s">
        <v>8</v>
      </c>
      <c r="E128" s="1" t="s">
        <v>94</v>
      </c>
      <c r="F128" s="1" t="s">
        <v>95</v>
      </c>
      <c r="G128" s="1">
        <v>0</v>
      </c>
      <c r="H128" s="1" t="s">
        <v>445</v>
      </c>
      <c r="I128" s="1" t="s">
        <v>706</v>
      </c>
      <c r="J128" s="1" t="s">
        <v>698</v>
      </c>
      <c r="K128" s="1" t="s">
        <v>699</v>
      </c>
      <c r="L128" s="1" t="s">
        <v>124</v>
      </c>
      <c r="M128" s="1" t="s">
        <v>51</v>
      </c>
      <c r="N128" s="1"/>
      <c r="O128" s="1">
        <f t="shared" si="1"/>
        <v>0</v>
      </c>
      <c r="P128" s="1" t="s">
        <v>448</v>
      </c>
    </row>
    <row r="129" spans="1:16" ht="69.25" customHeight="1">
      <c r="A129" s="1" t="s">
        <v>9</v>
      </c>
      <c r="B129" s="1" t="s">
        <v>14</v>
      </c>
      <c r="C129" s="1">
        <v>2022</v>
      </c>
      <c r="D129" s="1" t="s">
        <v>8</v>
      </c>
      <c r="E129" s="1" t="s">
        <v>98</v>
      </c>
      <c r="F129" s="1" t="s">
        <v>99</v>
      </c>
      <c r="G129" s="1">
        <v>0</v>
      </c>
      <c r="H129" s="1" t="s">
        <v>434</v>
      </c>
      <c r="I129" s="1" t="s">
        <v>707</v>
      </c>
      <c r="J129" s="1" t="s">
        <v>698</v>
      </c>
      <c r="K129" s="1" t="s">
        <v>708</v>
      </c>
      <c r="L129" s="1" t="s">
        <v>124</v>
      </c>
      <c r="M129" s="1" t="s">
        <v>51</v>
      </c>
      <c r="N129" s="1"/>
      <c r="O129" s="1">
        <f t="shared" si="1"/>
        <v>0</v>
      </c>
      <c r="P129" s="1" t="s">
        <v>472</v>
      </c>
    </row>
    <row r="130" spans="1:16" ht="69.25" customHeight="1">
      <c r="A130" s="1" t="s">
        <v>9</v>
      </c>
      <c r="B130" s="1" t="s">
        <v>14</v>
      </c>
      <c r="C130" s="1">
        <v>2022</v>
      </c>
      <c r="D130" s="1" t="s">
        <v>8</v>
      </c>
      <c r="E130" s="1" t="s">
        <v>102</v>
      </c>
      <c r="F130" s="1" t="s">
        <v>103</v>
      </c>
      <c r="G130" s="1">
        <v>1</v>
      </c>
      <c r="H130" s="1" t="s">
        <v>429</v>
      </c>
      <c r="I130" s="1" t="s">
        <v>701</v>
      </c>
      <c r="J130" s="1" t="s">
        <v>698</v>
      </c>
      <c r="K130" s="1" t="s">
        <v>432</v>
      </c>
      <c r="L130" s="1" t="s">
        <v>124</v>
      </c>
      <c r="M130" s="1" t="s">
        <v>51</v>
      </c>
      <c r="N130" s="1"/>
      <c r="O130" s="1">
        <f t="shared" ref="O130:O193" si="2">IF(N130&lt;&gt;"",N130,G130)</f>
        <v>1</v>
      </c>
      <c r="P130" s="1" t="s">
        <v>475</v>
      </c>
    </row>
    <row r="131" spans="1:16" ht="69.25" customHeight="1">
      <c r="A131" s="1" t="s">
        <v>9</v>
      </c>
      <c r="B131" s="1" t="s">
        <v>14</v>
      </c>
      <c r="C131" s="1">
        <v>2022</v>
      </c>
      <c r="D131" s="1" t="s">
        <v>8</v>
      </c>
      <c r="E131" s="1" t="s">
        <v>106</v>
      </c>
      <c r="F131" s="1" t="s">
        <v>107</v>
      </c>
      <c r="G131" s="1">
        <v>0</v>
      </c>
      <c r="H131" s="1" t="s">
        <v>434</v>
      </c>
      <c r="I131" s="1" t="s">
        <v>709</v>
      </c>
      <c r="J131" s="1" t="s">
        <v>698</v>
      </c>
      <c r="K131" s="1" t="s">
        <v>704</v>
      </c>
      <c r="L131" s="1" t="s">
        <v>124</v>
      </c>
      <c r="M131" s="1" t="s">
        <v>51</v>
      </c>
      <c r="N131" s="1"/>
      <c r="O131" s="1">
        <f t="shared" si="2"/>
        <v>0</v>
      </c>
      <c r="P131" s="1" t="s">
        <v>454</v>
      </c>
    </row>
    <row r="132" spans="1:16" ht="69.25" customHeight="1">
      <c r="A132" s="1" t="s">
        <v>9</v>
      </c>
      <c r="B132" s="1" t="s">
        <v>14</v>
      </c>
      <c r="C132" s="1">
        <v>2023</v>
      </c>
      <c r="D132" s="1" t="s">
        <v>8</v>
      </c>
      <c r="E132" s="1" t="s">
        <v>70</v>
      </c>
      <c r="F132" s="1" t="s">
        <v>71</v>
      </c>
      <c r="G132" s="1">
        <v>1</v>
      </c>
      <c r="H132" s="1" t="s">
        <v>429</v>
      </c>
      <c r="I132" s="1" t="s">
        <v>710</v>
      </c>
      <c r="J132" s="1" t="s">
        <v>711</v>
      </c>
      <c r="K132" s="1" t="s">
        <v>443</v>
      </c>
      <c r="L132" s="1" t="s">
        <v>124</v>
      </c>
      <c r="M132" s="1" t="s">
        <v>51</v>
      </c>
      <c r="N132" s="1"/>
      <c r="O132" s="1">
        <f t="shared" si="2"/>
        <v>1</v>
      </c>
      <c r="P132" s="1" t="s">
        <v>433</v>
      </c>
    </row>
    <row r="133" spans="1:16" ht="69.25" customHeight="1">
      <c r="A133" s="1" t="s">
        <v>9</v>
      </c>
      <c r="B133" s="1" t="s">
        <v>14</v>
      </c>
      <c r="C133" s="1">
        <v>2023</v>
      </c>
      <c r="D133" s="1" t="s">
        <v>8</v>
      </c>
      <c r="E133" s="1" t="s">
        <v>74</v>
      </c>
      <c r="F133" s="1" t="s">
        <v>75</v>
      </c>
      <c r="G133" s="1">
        <v>0</v>
      </c>
      <c r="H133" s="1" t="s">
        <v>434</v>
      </c>
      <c r="I133" s="1" t="s">
        <v>712</v>
      </c>
      <c r="J133" s="1" t="s">
        <v>711</v>
      </c>
      <c r="K133" s="1" t="s">
        <v>443</v>
      </c>
      <c r="L133" s="1" t="s">
        <v>124</v>
      </c>
      <c r="M133" s="1" t="s">
        <v>51</v>
      </c>
      <c r="N133" s="1"/>
      <c r="O133" s="1">
        <f t="shared" si="2"/>
        <v>0</v>
      </c>
      <c r="P133" s="1" t="s">
        <v>437</v>
      </c>
    </row>
    <row r="134" spans="1:16" ht="69.25" customHeight="1">
      <c r="A134" s="1" t="s">
        <v>9</v>
      </c>
      <c r="B134" s="1" t="s">
        <v>14</v>
      </c>
      <c r="C134" s="1">
        <v>2023</v>
      </c>
      <c r="D134" s="1" t="s">
        <v>8</v>
      </c>
      <c r="E134" s="1" t="s">
        <v>78</v>
      </c>
      <c r="F134" s="1" t="s">
        <v>79</v>
      </c>
      <c r="G134" s="1">
        <v>0</v>
      </c>
      <c r="H134" s="1" t="s">
        <v>434</v>
      </c>
      <c r="I134" s="1" t="s">
        <v>438</v>
      </c>
      <c r="J134" s="1" t="s">
        <v>713</v>
      </c>
      <c r="K134" s="1"/>
      <c r="L134" s="1" t="s">
        <v>124</v>
      </c>
      <c r="M134" s="1" t="s">
        <v>51</v>
      </c>
      <c r="N134" s="1"/>
      <c r="O134" s="1">
        <f t="shared" si="2"/>
        <v>0</v>
      </c>
      <c r="P134" s="1" t="s">
        <v>439</v>
      </c>
    </row>
    <row r="135" spans="1:16" ht="69.25" customHeight="1">
      <c r="A135" s="1" t="s">
        <v>9</v>
      </c>
      <c r="B135" s="1" t="s">
        <v>14</v>
      </c>
      <c r="C135" s="1">
        <v>2023</v>
      </c>
      <c r="D135" s="1" t="s">
        <v>8</v>
      </c>
      <c r="E135" s="1" t="s">
        <v>82</v>
      </c>
      <c r="F135" s="1" t="s">
        <v>83</v>
      </c>
      <c r="G135" s="1">
        <v>1</v>
      </c>
      <c r="H135" s="1" t="s">
        <v>429</v>
      </c>
      <c r="I135" s="1" t="s">
        <v>714</v>
      </c>
      <c r="J135" s="1" t="s">
        <v>711</v>
      </c>
      <c r="K135" s="1" t="s">
        <v>443</v>
      </c>
      <c r="L135" s="1" t="s">
        <v>124</v>
      </c>
      <c r="M135" s="1" t="s">
        <v>51</v>
      </c>
      <c r="N135" s="1"/>
      <c r="O135" s="1">
        <f t="shared" si="2"/>
        <v>1</v>
      </c>
      <c r="P135" s="1" t="s">
        <v>465</v>
      </c>
    </row>
    <row r="136" spans="1:16" ht="69.25" customHeight="1">
      <c r="A136" s="1" t="s">
        <v>9</v>
      </c>
      <c r="B136" s="1" t="s">
        <v>14</v>
      </c>
      <c r="C136" s="1">
        <v>2023</v>
      </c>
      <c r="D136" s="1" t="s">
        <v>8</v>
      </c>
      <c r="E136" s="1" t="s">
        <v>86</v>
      </c>
      <c r="F136" s="1" t="s">
        <v>87</v>
      </c>
      <c r="G136" s="1">
        <v>1</v>
      </c>
      <c r="H136" s="1" t="s">
        <v>429</v>
      </c>
      <c r="I136" s="1" t="s">
        <v>715</v>
      </c>
      <c r="J136" s="1" t="s">
        <v>711</v>
      </c>
      <c r="K136" s="1" t="s">
        <v>443</v>
      </c>
      <c r="L136" s="1" t="s">
        <v>124</v>
      </c>
      <c r="M136" s="1" t="s">
        <v>51</v>
      </c>
      <c r="N136" s="1"/>
      <c r="O136" s="1">
        <f t="shared" si="2"/>
        <v>1</v>
      </c>
      <c r="P136" s="1" t="s">
        <v>467</v>
      </c>
    </row>
    <row r="137" spans="1:16" ht="69.25" customHeight="1">
      <c r="A137" s="1" t="s">
        <v>9</v>
      </c>
      <c r="B137" s="1" t="s">
        <v>14</v>
      </c>
      <c r="C137" s="1">
        <v>2023</v>
      </c>
      <c r="D137" s="1" t="s">
        <v>8</v>
      </c>
      <c r="E137" s="1" t="s">
        <v>90</v>
      </c>
      <c r="F137" s="1" t="s">
        <v>91</v>
      </c>
      <c r="G137" s="1">
        <v>0</v>
      </c>
      <c r="H137" s="1" t="s">
        <v>445</v>
      </c>
      <c r="I137" s="1" t="s">
        <v>714</v>
      </c>
      <c r="J137" s="1" t="s">
        <v>711</v>
      </c>
      <c r="K137" s="1" t="s">
        <v>443</v>
      </c>
      <c r="L137" s="1" t="s">
        <v>124</v>
      </c>
      <c r="M137" s="1" t="s">
        <v>51</v>
      </c>
      <c r="N137" s="1"/>
      <c r="O137" s="1">
        <f t="shared" si="2"/>
        <v>0</v>
      </c>
      <c r="P137" s="1" t="s">
        <v>448</v>
      </c>
    </row>
    <row r="138" spans="1:16" ht="69.25" customHeight="1">
      <c r="A138" s="1" t="s">
        <v>9</v>
      </c>
      <c r="B138" s="1" t="s">
        <v>14</v>
      </c>
      <c r="C138" s="1">
        <v>2023</v>
      </c>
      <c r="D138" s="1" t="s">
        <v>8</v>
      </c>
      <c r="E138" s="1" t="s">
        <v>94</v>
      </c>
      <c r="F138" s="1" t="s">
        <v>95</v>
      </c>
      <c r="G138" s="1">
        <v>1</v>
      </c>
      <c r="H138" s="1" t="s">
        <v>429</v>
      </c>
      <c r="I138" s="1" t="s">
        <v>716</v>
      </c>
      <c r="J138" s="1" t="s">
        <v>711</v>
      </c>
      <c r="K138" s="1" t="s">
        <v>708</v>
      </c>
      <c r="L138" s="1" t="s">
        <v>124</v>
      </c>
      <c r="M138" s="1" t="s">
        <v>51</v>
      </c>
      <c r="N138" s="1"/>
      <c r="O138" s="1">
        <f t="shared" si="2"/>
        <v>1</v>
      </c>
      <c r="P138" s="1" t="s">
        <v>643</v>
      </c>
    </row>
    <row r="139" spans="1:16" ht="69.25" customHeight="1">
      <c r="A139" s="1" t="s">
        <v>9</v>
      </c>
      <c r="B139" s="1" t="s">
        <v>14</v>
      </c>
      <c r="C139" s="1">
        <v>2023</v>
      </c>
      <c r="D139" s="1" t="s">
        <v>8</v>
      </c>
      <c r="E139" s="1" t="s">
        <v>98</v>
      </c>
      <c r="F139" s="1" t="s">
        <v>99</v>
      </c>
      <c r="G139" s="1">
        <v>0</v>
      </c>
      <c r="H139" s="1" t="s">
        <v>434</v>
      </c>
      <c r="I139" s="1" t="s">
        <v>717</v>
      </c>
      <c r="J139" s="1" t="s">
        <v>711</v>
      </c>
      <c r="K139" s="1" t="s">
        <v>718</v>
      </c>
      <c r="L139" s="1" t="s">
        <v>124</v>
      </c>
      <c r="M139" s="1" t="s">
        <v>51</v>
      </c>
      <c r="N139" s="1"/>
      <c r="O139" s="1">
        <f t="shared" si="2"/>
        <v>0</v>
      </c>
      <c r="P139" s="1" t="s">
        <v>472</v>
      </c>
    </row>
    <row r="140" spans="1:16" ht="69.25" customHeight="1">
      <c r="A140" s="1" t="s">
        <v>9</v>
      </c>
      <c r="B140" s="1" t="s">
        <v>14</v>
      </c>
      <c r="C140" s="1">
        <v>2023</v>
      </c>
      <c r="D140" s="1" t="s">
        <v>8</v>
      </c>
      <c r="E140" s="1" t="s">
        <v>102</v>
      </c>
      <c r="F140" s="1" t="s">
        <v>103</v>
      </c>
      <c r="G140" s="1">
        <v>0</v>
      </c>
      <c r="H140" s="1" t="s">
        <v>434</v>
      </c>
      <c r="I140" s="1" t="s">
        <v>719</v>
      </c>
      <c r="J140" s="1" t="s">
        <v>711</v>
      </c>
      <c r="K140" s="1" t="s">
        <v>447</v>
      </c>
      <c r="L140" s="1" t="s">
        <v>124</v>
      </c>
      <c r="M140" s="1" t="s">
        <v>51</v>
      </c>
      <c r="N140" s="1"/>
      <c r="O140" s="1">
        <f t="shared" si="2"/>
        <v>0</v>
      </c>
      <c r="P140" s="1" t="s">
        <v>452</v>
      </c>
    </row>
    <row r="141" spans="1:16" ht="69.25" customHeight="1">
      <c r="A141" s="1" t="s">
        <v>9</v>
      </c>
      <c r="B141" s="1" t="s">
        <v>14</v>
      </c>
      <c r="C141" s="1">
        <v>2023</v>
      </c>
      <c r="D141" s="1" t="s">
        <v>8</v>
      </c>
      <c r="E141" s="1" t="s">
        <v>106</v>
      </c>
      <c r="F141" s="1" t="s">
        <v>107</v>
      </c>
      <c r="G141" s="1">
        <v>0</v>
      </c>
      <c r="H141" s="1" t="s">
        <v>445</v>
      </c>
      <c r="I141" s="1" t="s">
        <v>720</v>
      </c>
      <c r="J141" s="1" t="s">
        <v>721</v>
      </c>
      <c r="K141" s="1" t="s">
        <v>708</v>
      </c>
      <c r="L141" s="1" t="s">
        <v>124</v>
      </c>
      <c r="M141" s="1" t="s">
        <v>51</v>
      </c>
      <c r="N141" s="1"/>
      <c r="O141" s="1">
        <f t="shared" si="2"/>
        <v>0</v>
      </c>
      <c r="P141" s="1" t="s">
        <v>448</v>
      </c>
    </row>
    <row r="142" spans="1:16" ht="69.25" customHeight="1">
      <c r="A142" s="1" t="s">
        <v>9</v>
      </c>
      <c r="B142" s="1" t="s">
        <v>14</v>
      </c>
      <c r="C142" s="1">
        <v>2024</v>
      </c>
      <c r="D142" s="1" t="s">
        <v>8</v>
      </c>
      <c r="E142" s="1" t="s">
        <v>70</v>
      </c>
      <c r="F142" s="1" t="s">
        <v>71</v>
      </c>
      <c r="G142" s="1">
        <v>1</v>
      </c>
      <c r="H142" s="1" t="s">
        <v>478</v>
      </c>
      <c r="I142" s="1" t="s">
        <v>722</v>
      </c>
      <c r="J142" s="1" t="s">
        <v>723</v>
      </c>
      <c r="K142" s="1" t="s">
        <v>724</v>
      </c>
      <c r="L142" s="1" t="s">
        <v>725</v>
      </c>
      <c r="M142" s="1" t="s">
        <v>51</v>
      </c>
      <c r="N142" s="1"/>
      <c r="O142" s="1">
        <f t="shared" si="2"/>
        <v>1</v>
      </c>
      <c r="P142" s="1" t="s">
        <v>483</v>
      </c>
    </row>
    <row r="143" spans="1:16" ht="69.25" customHeight="1">
      <c r="A143" s="1" t="s">
        <v>9</v>
      </c>
      <c r="B143" s="1" t="s">
        <v>14</v>
      </c>
      <c r="C143" s="1">
        <v>2024</v>
      </c>
      <c r="D143" s="1" t="s">
        <v>8</v>
      </c>
      <c r="E143" s="1" t="s">
        <v>74</v>
      </c>
      <c r="F143" s="1" t="s">
        <v>75</v>
      </c>
      <c r="G143" s="1">
        <v>1</v>
      </c>
      <c r="H143" s="1" t="s">
        <v>478</v>
      </c>
      <c r="I143" s="1" t="s">
        <v>726</v>
      </c>
      <c r="J143" s="1" t="s">
        <v>723</v>
      </c>
      <c r="K143" s="1" t="s">
        <v>724</v>
      </c>
      <c r="L143" s="1" t="s">
        <v>725</v>
      </c>
      <c r="M143" s="1" t="s">
        <v>51</v>
      </c>
      <c r="N143" s="1"/>
      <c r="O143" s="1">
        <f t="shared" si="2"/>
        <v>1</v>
      </c>
      <c r="P143" s="1" t="s">
        <v>655</v>
      </c>
    </row>
    <row r="144" spans="1:16" ht="69.25" customHeight="1">
      <c r="A144" s="1" t="s">
        <v>9</v>
      </c>
      <c r="B144" s="1" t="s">
        <v>14</v>
      </c>
      <c r="C144" s="1">
        <v>2024</v>
      </c>
      <c r="D144" s="1" t="s">
        <v>8</v>
      </c>
      <c r="E144" s="1" t="s">
        <v>78</v>
      </c>
      <c r="F144" s="1" t="s">
        <v>79</v>
      </c>
      <c r="G144" s="1">
        <v>0</v>
      </c>
      <c r="H144" s="1" t="s">
        <v>486</v>
      </c>
      <c r="I144" s="1" t="s">
        <v>727</v>
      </c>
      <c r="J144" s="1" t="s">
        <v>488</v>
      </c>
      <c r="K144" s="1" t="s">
        <v>728</v>
      </c>
      <c r="L144" s="1" t="s">
        <v>490</v>
      </c>
      <c r="M144" s="1" t="s">
        <v>51</v>
      </c>
      <c r="N144" s="1"/>
      <c r="O144" s="1">
        <f t="shared" si="2"/>
        <v>0</v>
      </c>
      <c r="P144" s="1" t="s">
        <v>658</v>
      </c>
    </row>
    <row r="145" spans="1:16" ht="69.25" customHeight="1">
      <c r="A145" s="1" t="s">
        <v>9</v>
      </c>
      <c r="B145" s="1" t="s">
        <v>14</v>
      </c>
      <c r="C145" s="1">
        <v>2024</v>
      </c>
      <c r="D145" s="1" t="s">
        <v>8</v>
      </c>
      <c r="E145" s="1" t="s">
        <v>82</v>
      </c>
      <c r="F145" s="1" t="s">
        <v>83</v>
      </c>
      <c r="G145" s="1">
        <v>1</v>
      </c>
      <c r="H145" s="1" t="s">
        <v>478</v>
      </c>
      <c r="I145" s="1" t="s">
        <v>729</v>
      </c>
      <c r="J145" s="1" t="s">
        <v>723</v>
      </c>
      <c r="K145" s="1" t="s">
        <v>730</v>
      </c>
      <c r="L145" s="1" t="s">
        <v>725</v>
      </c>
      <c r="M145" s="1" t="s">
        <v>51</v>
      </c>
      <c r="N145" s="1"/>
      <c r="O145" s="1">
        <f t="shared" si="2"/>
        <v>1</v>
      </c>
      <c r="P145" s="1" t="s">
        <v>731</v>
      </c>
    </row>
    <row r="146" spans="1:16" ht="69.25" customHeight="1">
      <c r="A146" s="1" t="s">
        <v>9</v>
      </c>
      <c r="B146" s="1" t="s">
        <v>14</v>
      </c>
      <c r="C146" s="1">
        <v>2024</v>
      </c>
      <c r="D146" s="1" t="s">
        <v>8</v>
      </c>
      <c r="E146" s="1" t="s">
        <v>86</v>
      </c>
      <c r="F146" s="1" t="s">
        <v>87</v>
      </c>
      <c r="G146" s="1">
        <v>1</v>
      </c>
      <c r="H146" s="1" t="s">
        <v>478</v>
      </c>
      <c r="I146" s="1" t="s">
        <v>732</v>
      </c>
      <c r="J146" s="1" t="s">
        <v>723</v>
      </c>
      <c r="K146" s="1" t="s">
        <v>730</v>
      </c>
      <c r="L146" s="1" t="s">
        <v>725</v>
      </c>
      <c r="M146" s="1" t="s">
        <v>51</v>
      </c>
      <c r="N146" s="1"/>
      <c r="O146" s="1">
        <f t="shared" si="2"/>
        <v>1</v>
      </c>
      <c r="P146" s="1" t="s">
        <v>580</v>
      </c>
    </row>
    <row r="147" spans="1:16" ht="69.25" customHeight="1">
      <c r="A147" s="1" t="s">
        <v>9</v>
      </c>
      <c r="B147" s="1" t="s">
        <v>14</v>
      </c>
      <c r="C147" s="1">
        <v>2024</v>
      </c>
      <c r="D147" s="1" t="s">
        <v>8</v>
      </c>
      <c r="E147" s="1" t="s">
        <v>90</v>
      </c>
      <c r="F147" s="1" t="s">
        <v>91</v>
      </c>
      <c r="G147" s="1">
        <v>1</v>
      </c>
      <c r="H147" s="1" t="s">
        <v>478</v>
      </c>
      <c r="I147" s="1" t="s">
        <v>733</v>
      </c>
      <c r="J147" s="1" t="s">
        <v>723</v>
      </c>
      <c r="K147" s="1" t="s">
        <v>730</v>
      </c>
      <c r="L147" s="1" t="s">
        <v>725</v>
      </c>
      <c r="M147" s="1" t="s">
        <v>51</v>
      </c>
      <c r="N147" s="1"/>
      <c r="O147" s="1">
        <f t="shared" si="2"/>
        <v>1</v>
      </c>
      <c r="P147" s="1" t="s">
        <v>734</v>
      </c>
    </row>
    <row r="148" spans="1:16" ht="69.25" customHeight="1">
      <c r="A148" s="1" t="s">
        <v>9</v>
      </c>
      <c r="B148" s="1" t="s">
        <v>14</v>
      </c>
      <c r="C148" s="1">
        <v>2024</v>
      </c>
      <c r="D148" s="1" t="s">
        <v>8</v>
      </c>
      <c r="E148" s="1" t="s">
        <v>94</v>
      </c>
      <c r="F148" s="1" t="s">
        <v>95</v>
      </c>
      <c r="G148" s="1">
        <v>1</v>
      </c>
      <c r="H148" s="1" t="s">
        <v>478</v>
      </c>
      <c r="I148" s="1" t="s">
        <v>735</v>
      </c>
      <c r="J148" s="1" t="s">
        <v>736</v>
      </c>
      <c r="K148" s="1" t="s">
        <v>737</v>
      </c>
      <c r="L148" s="1" t="s">
        <v>738</v>
      </c>
      <c r="M148" s="1" t="s">
        <v>51</v>
      </c>
      <c r="N148" s="1"/>
      <c r="O148" s="1">
        <f t="shared" si="2"/>
        <v>1</v>
      </c>
      <c r="P148" s="1" t="s">
        <v>739</v>
      </c>
    </row>
    <row r="149" spans="1:16" ht="69.25" customHeight="1">
      <c r="A149" s="1" t="s">
        <v>9</v>
      </c>
      <c r="B149" s="1" t="s">
        <v>14</v>
      </c>
      <c r="C149" s="1">
        <v>2024</v>
      </c>
      <c r="D149" s="1" t="s">
        <v>8</v>
      </c>
      <c r="E149" s="1" t="s">
        <v>98</v>
      </c>
      <c r="F149" s="1" t="s">
        <v>99</v>
      </c>
      <c r="G149" s="1">
        <v>1</v>
      </c>
      <c r="H149" s="1" t="s">
        <v>478</v>
      </c>
      <c r="I149" s="1" t="s">
        <v>740</v>
      </c>
      <c r="J149" s="1" t="s">
        <v>741</v>
      </c>
      <c r="K149" s="1" t="s">
        <v>742</v>
      </c>
      <c r="L149" s="1" t="s">
        <v>743</v>
      </c>
      <c r="M149" s="1" t="s">
        <v>51</v>
      </c>
      <c r="N149" s="1"/>
      <c r="O149" s="1">
        <f t="shared" si="2"/>
        <v>1</v>
      </c>
      <c r="P149" s="1" t="s">
        <v>744</v>
      </c>
    </row>
    <row r="150" spans="1:16" ht="69.25" customHeight="1">
      <c r="A150" s="1" t="s">
        <v>9</v>
      </c>
      <c r="B150" s="1" t="s">
        <v>14</v>
      </c>
      <c r="C150" s="1">
        <v>2024</v>
      </c>
      <c r="D150" s="1" t="s">
        <v>8</v>
      </c>
      <c r="E150" s="1" t="s">
        <v>102</v>
      </c>
      <c r="F150" s="1" t="s">
        <v>103</v>
      </c>
      <c r="G150" s="1">
        <v>1</v>
      </c>
      <c r="H150" s="1" t="s">
        <v>478</v>
      </c>
      <c r="I150" s="1" t="s">
        <v>745</v>
      </c>
      <c r="J150" s="1" t="s">
        <v>723</v>
      </c>
      <c r="K150" s="1" t="s">
        <v>730</v>
      </c>
      <c r="L150" s="1" t="s">
        <v>725</v>
      </c>
      <c r="M150" s="1" t="s">
        <v>51</v>
      </c>
      <c r="N150" s="1"/>
      <c r="O150" s="1">
        <f t="shared" si="2"/>
        <v>1</v>
      </c>
      <c r="P150" s="1" t="s">
        <v>746</v>
      </c>
    </row>
    <row r="151" spans="1:16" ht="69.25" customHeight="1">
      <c r="A151" s="1" t="s">
        <v>9</v>
      </c>
      <c r="B151" s="1" t="s">
        <v>14</v>
      </c>
      <c r="C151" s="1">
        <v>2024</v>
      </c>
      <c r="D151" s="1" t="s">
        <v>8</v>
      </c>
      <c r="E151" s="1" t="s">
        <v>106</v>
      </c>
      <c r="F151" s="1" t="s">
        <v>107</v>
      </c>
      <c r="G151" s="1">
        <v>1</v>
      </c>
      <c r="H151" s="1" t="s">
        <v>478</v>
      </c>
      <c r="I151" s="1" t="s">
        <v>747</v>
      </c>
      <c r="J151" s="1" t="s">
        <v>748</v>
      </c>
      <c r="K151" s="1" t="s">
        <v>749</v>
      </c>
      <c r="L151" s="1" t="s">
        <v>750</v>
      </c>
      <c r="M151" s="1" t="s">
        <v>51</v>
      </c>
      <c r="N151" s="1"/>
      <c r="O151" s="1">
        <f t="shared" si="2"/>
        <v>1</v>
      </c>
      <c r="P151" s="1" t="s">
        <v>751</v>
      </c>
    </row>
    <row r="152" spans="1:16" ht="69.25" customHeight="1">
      <c r="A152" s="1" t="s">
        <v>9</v>
      </c>
      <c r="B152" s="1" t="s">
        <v>14</v>
      </c>
      <c r="C152" s="1">
        <v>2025</v>
      </c>
      <c r="D152" s="1" t="s">
        <v>8</v>
      </c>
      <c r="E152" s="1" t="s">
        <v>70</v>
      </c>
      <c r="F152" s="1" t="s">
        <v>71</v>
      </c>
      <c r="G152" s="1">
        <v>1</v>
      </c>
      <c r="H152" s="1" t="s">
        <v>429</v>
      </c>
      <c r="I152" s="1" t="s">
        <v>752</v>
      </c>
      <c r="J152" s="1" t="s">
        <v>753</v>
      </c>
      <c r="K152" s="1" t="s">
        <v>450</v>
      </c>
      <c r="L152" s="1" t="s">
        <v>124</v>
      </c>
      <c r="M152" s="1" t="s">
        <v>51</v>
      </c>
      <c r="N152" s="1"/>
      <c r="O152" s="1">
        <f t="shared" si="2"/>
        <v>1</v>
      </c>
      <c r="P152" s="1" t="s">
        <v>433</v>
      </c>
    </row>
    <row r="153" spans="1:16" ht="69.25" customHeight="1">
      <c r="A153" s="1" t="s">
        <v>9</v>
      </c>
      <c r="B153" s="1" t="s">
        <v>14</v>
      </c>
      <c r="C153" s="1">
        <v>2025</v>
      </c>
      <c r="D153" s="1" t="s">
        <v>8</v>
      </c>
      <c r="E153" s="1" t="s">
        <v>74</v>
      </c>
      <c r="F153" s="1" t="s">
        <v>75</v>
      </c>
      <c r="G153" s="1">
        <v>0</v>
      </c>
      <c r="H153" s="1" t="s">
        <v>434</v>
      </c>
      <c r="I153" s="1" t="s">
        <v>754</v>
      </c>
      <c r="J153" s="1" t="s">
        <v>753</v>
      </c>
      <c r="K153" s="1" t="s">
        <v>450</v>
      </c>
      <c r="L153" s="1" t="s">
        <v>124</v>
      </c>
      <c r="M153" s="1" t="s">
        <v>51</v>
      </c>
      <c r="N153" s="1"/>
      <c r="O153" s="1">
        <f t="shared" si="2"/>
        <v>0</v>
      </c>
      <c r="P153" s="1" t="s">
        <v>437</v>
      </c>
    </row>
    <row r="154" spans="1:16" ht="69.25" customHeight="1">
      <c r="A154" s="1" t="s">
        <v>9</v>
      </c>
      <c r="B154" s="1" t="s">
        <v>14</v>
      </c>
      <c r="C154" s="1">
        <v>2025</v>
      </c>
      <c r="D154" s="1" t="s">
        <v>8</v>
      </c>
      <c r="E154" s="1" t="s">
        <v>78</v>
      </c>
      <c r="F154" s="1" t="s">
        <v>79</v>
      </c>
      <c r="G154" s="1">
        <v>0</v>
      </c>
      <c r="H154" s="1" t="s">
        <v>434</v>
      </c>
      <c r="I154" s="1" t="s">
        <v>755</v>
      </c>
      <c r="J154" s="1" t="s">
        <v>756</v>
      </c>
      <c r="K154" s="1" t="s">
        <v>718</v>
      </c>
      <c r="L154" s="1" t="s">
        <v>124</v>
      </c>
      <c r="M154" s="1" t="s">
        <v>51</v>
      </c>
      <c r="N154" s="1"/>
      <c r="O154" s="1">
        <f t="shared" si="2"/>
        <v>0</v>
      </c>
      <c r="P154" s="1" t="s">
        <v>439</v>
      </c>
    </row>
    <row r="155" spans="1:16" ht="69.25" customHeight="1">
      <c r="A155" s="1" t="s">
        <v>9</v>
      </c>
      <c r="B155" s="1" t="s">
        <v>14</v>
      </c>
      <c r="C155" s="1">
        <v>2025</v>
      </c>
      <c r="D155" s="1" t="s">
        <v>8</v>
      </c>
      <c r="E155" s="1" t="s">
        <v>82</v>
      </c>
      <c r="F155" s="1" t="s">
        <v>83</v>
      </c>
      <c r="G155" s="1">
        <v>1</v>
      </c>
      <c r="H155" s="1" t="s">
        <v>429</v>
      </c>
      <c r="I155" s="1" t="s">
        <v>757</v>
      </c>
      <c r="J155" s="1" t="s">
        <v>753</v>
      </c>
      <c r="K155" s="1" t="s">
        <v>450</v>
      </c>
      <c r="L155" s="1" t="s">
        <v>124</v>
      </c>
      <c r="M155" s="1" t="s">
        <v>51</v>
      </c>
      <c r="N155" s="1"/>
      <c r="O155" s="1">
        <f t="shared" si="2"/>
        <v>1</v>
      </c>
      <c r="P155" s="1" t="s">
        <v>465</v>
      </c>
    </row>
    <row r="156" spans="1:16" ht="69.25" customHeight="1">
      <c r="A156" s="1" t="s">
        <v>9</v>
      </c>
      <c r="B156" s="1" t="s">
        <v>14</v>
      </c>
      <c r="C156" s="1">
        <v>2025</v>
      </c>
      <c r="D156" s="1" t="s">
        <v>8</v>
      </c>
      <c r="E156" s="1" t="s">
        <v>86</v>
      </c>
      <c r="F156" s="1" t="s">
        <v>87</v>
      </c>
      <c r="G156" s="1">
        <v>1</v>
      </c>
      <c r="H156" s="1" t="s">
        <v>429</v>
      </c>
      <c r="I156" s="1" t="s">
        <v>758</v>
      </c>
      <c r="J156" s="1" t="s">
        <v>753</v>
      </c>
      <c r="K156" s="1" t="s">
        <v>450</v>
      </c>
      <c r="L156" s="1" t="s">
        <v>124</v>
      </c>
      <c r="M156" s="1" t="s">
        <v>51</v>
      </c>
      <c r="N156" s="1"/>
      <c r="O156" s="1">
        <f t="shared" si="2"/>
        <v>1</v>
      </c>
      <c r="P156" s="1" t="s">
        <v>467</v>
      </c>
    </row>
    <row r="157" spans="1:16" ht="69.25" customHeight="1">
      <c r="A157" s="1" t="s">
        <v>9</v>
      </c>
      <c r="B157" s="1" t="s">
        <v>14</v>
      </c>
      <c r="C157" s="1">
        <v>2025</v>
      </c>
      <c r="D157" s="1" t="s">
        <v>8</v>
      </c>
      <c r="E157" s="1" t="s">
        <v>90</v>
      </c>
      <c r="F157" s="1" t="s">
        <v>91</v>
      </c>
      <c r="G157" s="1">
        <v>0</v>
      </c>
      <c r="H157" s="1" t="s">
        <v>445</v>
      </c>
      <c r="I157" s="1" t="s">
        <v>757</v>
      </c>
      <c r="J157" s="1" t="s">
        <v>753</v>
      </c>
      <c r="K157" s="1" t="s">
        <v>450</v>
      </c>
      <c r="L157" s="1" t="s">
        <v>124</v>
      </c>
      <c r="M157" s="1" t="s">
        <v>51</v>
      </c>
      <c r="N157" s="1"/>
      <c r="O157" s="1">
        <f t="shared" si="2"/>
        <v>0</v>
      </c>
      <c r="P157" s="1" t="s">
        <v>448</v>
      </c>
    </row>
    <row r="158" spans="1:16" ht="69.25" customHeight="1">
      <c r="A158" s="1" t="s">
        <v>9</v>
      </c>
      <c r="B158" s="1" t="s">
        <v>14</v>
      </c>
      <c r="C158" s="1">
        <v>2025</v>
      </c>
      <c r="D158" s="1" t="s">
        <v>8</v>
      </c>
      <c r="E158" s="1" t="s">
        <v>94</v>
      </c>
      <c r="F158" s="1" t="s">
        <v>95</v>
      </c>
      <c r="G158" s="1">
        <v>1</v>
      </c>
      <c r="H158" s="1" t="s">
        <v>429</v>
      </c>
      <c r="I158" s="1" t="s">
        <v>759</v>
      </c>
      <c r="J158" s="1" t="s">
        <v>753</v>
      </c>
      <c r="K158" s="1" t="s">
        <v>432</v>
      </c>
      <c r="L158" s="1" t="s">
        <v>124</v>
      </c>
      <c r="M158" s="1" t="s">
        <v>51</v>
      </c>
      <c r="N158" s="1"/>
      <c r="O158" s="1">
        <f t="shared" si="2"/>
        <v>1</v>
      </c>
      <c r="P158" s="1" t="s">
        <v>643</v>
      </c>
    </row>
    <row r="159" spans="1:16" ht="69.25" customHeight="1">
      <c r="A159" s="1" t="s">
        <v>9</v>
      </c>
      <c r="B159" s="1" t="s">
        <v>14</v>
      </c>
      <c r="C159" s="1">
        <v>2025</v>
      </c>
      <c r="D159" s="1" t="s">
        <v>8</v>
      </c>
      <c r="E159" s="1" t="s">
        <v>98</v>
      </c>
      <c r="F159" s="1" t="s">
        <v>99</v>
      </c>
      <c r="G159" s="1">
        <v>0</v>
      </c>
      <c r="H159" s="1" t="s">
        <v>434</v>
      </c>
      <c r="I159" s="1" t="s">
        <v>760</v>
      </c>
      <c r="J159" s="1" t="s">
        <v>753</v>
      </c>
      <c r="K159" s="1" t="s">
        <v>761</v>
      </c>
      <c r="L159" s="1" t="s">
        <v>124</v>
      </c>
      <c r="M159" s="1" t="s">
        <v>51</v>
      </c>
      <c r="N159" s="1"/>
      <c r="O159" s="1">
        <f t="shared" si="2"/>
        <v>0</v>
      </c>
      <c r="P159" s="1" t="s">
        <v>472</v>
      </c>
    </row>
    <row r="160" spans="1:16" ht="69.25" customHeight="1">
      <c r="A160" s="1" t="s">
        <v>9</v>
      </c>
      <c r="B160" s="1" t="s">
        <v>14</v>
      </c>
      <c r="C160" s="1">
        <v>2025</v>
      </c>
      <c r="D160" s="1" t="s">
        <v>8</v>
      </c>
      <c r="E160" s="1" t="s">
        <v>102</v>
      </c>
      <c r="F160" s="1" t="s">
        <v>103</v>
      </c>
      <c r="G160" s="1">
        <v>1</v>
      </c>
      <c r="H160" s="1" t="s">
        <v>429</v>
      </c>
      <c r="I160" s="1" t="s">
        <v>762</v>
      </c>
      <c r="J160" s="1" t="s">
        <v>753</v>
      </c>
      <c r="K160" s="1" t="s">
        <v>699</v>
      </c>
      <c r="L160" s="1" t="s">
        <v>124</v>
      </c>
      <c r="M160" s="1" t="s">
        <v>51</v>
      </c>
      <c r="N160" s="1"/>
      <c r="O160" s="1">
        <f t="shared" si="2"/>
        <v>1</v>
      </c>
      <c r="P160" s="1" t="s">
        <v>475</v>
      </c>
    </row>
    <row r="161" spans="1:16" ht="69.25" customHeight="1">
      <c r="A161" s="1" t="s">
        <v>9</v>
      </c>
      <c r="B161" s="1" t="s">
        <v>14</v>
      </c>
      <c r="C161" s="1">
        <v>2025</v>
      </c>
      <c r="D161" s="1" t="s">
        <v>8</v>
      </c>
      <c r="E161" s="1" t="s">
        <v>106</v>
      </c>
      <c r="F161" s="1" t="s">
        <v>107</v>
      </c>
      <c r="G161" s="1">
        <v>0</v>
      </c>
      <c r="H161" s="1" t="s">
        <v>445</v>
      </c>
      <c r="I161" s="1" t="s">
        <v>763</v>
      </c>
      <c r="J161" s="1" t="s">
        <v>756</v>
      </c>
      <c r="K161" s="1" t="s">
        <v>718</v>
      </c>
      <c r="L161" s="1" t="s">
        <v>124</v>
      </c>
      <c r="M161" s="1" t="s">
        <v>51</v>
      </c>
      <c r="N161" s="1"/>
      <c r="O161" s="1">
        <f t="shared" si="2"/>
        <v>0</v>
      </c>
      <c r="P161" s="1" t="s">
        <v>448</v>
      </c>
    </row>
    <row r="162" spans="1:16" ht="69.25" customHeight="1">
      <c r="A162" s="1" t="s">
        <v>9</v>
      </c>
      <c r="B162" s="1" t="s">
        <v>16</v>
      </c>
      <c r="C162" s="1">
        <v>2022</v>
      </c>
      <c r="D162" s="1" t="s">
        <v>18</v>
      </c>
      <c r="E162" s="1" t="s">
        <v>70</v>
      </c>
      <c r="F162" s="1" t="s">
        <v>71</v>
      </c>
      <c r="G162" s="1">
        <v>1</v>
      </c>
      <c r="H162" s="1" t="s">
        <v>429</v>
      </c>
      <c r="I162" s="1" t="s">
        <v>764</v>
      </c>
      <c r="J162" s="1" t="s">
        <v>765</v>
      </c>
      <c r="K162" s="1" t="s">
        <v>639</v>
      </c>
      <c r="L162" s="1" t="s">
        <v>127</v>
      </c>
      <c r="M162" s="1" t="s">
        <v>51</v>
      </c>
      <c r="N162" s="1"/>
      <c r="O162" s="1">
        <f t="shared" si="2"/>
        <v>1</v>
      </c>
      <c r="P162" s="1" t="s">
        <v>433</v>
      </c>
    </row>
    <row r="163" spans="1:16" ht="69.25" customHeight="1">
      <c r="A163" s="1" t="s">
        <v>9</v>
      </c>
      <c r="B163" s="1" t="s">
        <v>16</v>
      </c>
      <c r="C163" s="1">
        <v>2022</v>
      </c>
      <c r="D163" s="1" t="s">
        <v>18</v>
      </c>
      <c r="E163" s="1" t="s">
        <v>74</v>
      </c>
      <c r="F163" s="1" t="s">
        <v>75</v>
      </c>
      <c r="G163" s="1">
        <v>1</v>
      </c>
      <c r="H163" s="1" t="s">
        <v>429</v>
      </c>
      <c r="I163" s="1" t="s">
        <v>766</v>
      </c>
      <c r="J163" s="1" t="s">
        <v>765</v>
      </c>
      <c r="K163" s="1" t="s">
        <v>767</v>
      </c>
      <c r="L163" s="1" t="s">
        <v>127</v>
      </c>
      <c r="M163" s="1" t="s">
        <v>51</v>
      </c>
      <c r="N163" s="1"/>
      <c r="O163" s="1">
        <f t="shared" si="2"/>
        <v>1</v>
      </c>
      <c r="P163" s="1" t="s">
        <v>460</v>
      </c>
    </row>
    <row r="164" spans="1:16" ht="69.25" customHeight="1">
      <c r="A164" s="1" t="s">
        <v>9</v>
      </c>
      <c r="B164" s="1" t="s">
        <v>16</v>
      </c>
      <c r="C164" s="1">
        <v>2022</v>
      </c>
      <c r="D164" s="1" t="s">
        <v>18</v>
      </c>
      <c r="E164" s="1" t="s">
        <v>78</v>
      </c>
      <c r="F164" s="1" t="s">
        <v>79</v>
      </c>
      <c r="G164" s="1">
        <v>0</v>
      </c>
      <c r="H164" s="1" t="s">
        <v>434</v>
      </c>
      <c r="I164" s="1" t="s">
        <v>768</v>
      </c>
      <c r="J164" s="1" t="s">
        <v>765</v>
      </c>
      <c r="K164" s="1" t="s">
        <v>769</v>
      </c>
      <c r="L164" s="1" t="s">
        <v>127</v>
      </c>
      <c r="M164" s="1" t="s">
        <v>51</v>
      </c>
      <c r="N164" s="1"/>
      <c r="O164" s="1">
        <f t="shared" si="2"/>
        <v>0</v>
      </c>
      <c r="P164" s="1" t="s">
        <v>439</v>
      </c>
    </row>
    <row r="165" spans="1:16" ht="69.25" customHeight="1">
      <c r="A165" s="1" t="s">
        <v>9</v>
      </c>
      <c r="B165" s="1" t="s">
        <v>16</v>
      </c>
      <c r="C165" s="1">
        <v>2022</v>
      </c>
      <c r="D165" s="1" t="s">
        <v>18</v>
      </c>
      <c r="E165" s="1" t="s">
        <v>82</v>
      </c>
      <c r="F165" s="1" t="s">
        <v>83</v>
      </c>
      <c r="G165" s="1">
        <v>1</v>
      </c>
      <c r="H165" s="1" t="s">
        <v>429</v>
      </c>
      <c r="I165" s="1" t="s">
        <v>770</v>
      </c>
      <c r="J165" s="1" t="s">
        <v>771</v>
      </c>
      <c r="K165" s="1" t="s">
        <v>608</v>
      </c>
      <c r="L165" s="1" t="s">
        <v>127</v>
      </c>
      <c r="M165" s="1" t="s">
        <v>51</v>
      </c>
      <c r="N165" s="1"/>
      <c r="O165" s="1">
        <f t="shared" si="2"/>
        <v>1</v>
      </c>
      <c r="P165" s="1" t="s">
        <v>465</v>
      </c>
    </row>
    <row r="166" spans="1:16" ht="69.25" customHeight="1">
      <c r="A166" s="1" t="s">
        <v>9</v>
      </c>
      <c r="B166" s="1" t="s">
        <v>16</v>
      </c>
      <c r="C166" s="1">
        <v>2022</v>
      </c>
      <c r="D166" s="1" t="s">
        <v>18</v>
      </c>
      <c r="E166" s="1" t="s">
        <v>86</v>
      </c>
      <c r="F166" s="1" t="s">
        <v>87</v>
      </c>
      <c r="G166" s="1">
        <v>1</v>
      </c>
      <c r="H166" s="1" t="s">
        <v>429</v>
      </c>
      <c r="I166" s="1" t="s">
        <v>772</v>
      </c>
      <c r="J166" s="1" t="s">
        <v>771</v>
      </c>
      <c r="K166" s="1" t="s">
        <v>608</v>
      </c>
      <c r="L166" s="1" t="s">
        <v>127</v>
      </c>
      <c r="M166" s="1" t="s">
        <v>51</v>
      </c>
      <c r="N166" s="1"/>
      <c r="O166" s="1">
        <f t="shared" si="2"/>
        <v>1</v>
      </c>
      <c r="P166" s="1" t="s">
        <v>467</v>
      </c>
    </row>
    <row r="167" spans="1:16" ht="69.25" customHeight="1">
      <c r="A167" s="1" t="s">
        <v>9</v>
      </c>
      <c r="B167" s="1" t="s">
        <v>16</v>
      </c>
      <c r="C167" s="1">
        <v>2022</v>
      </c>
      <c r="D167" s="1" t="s">
        <v>18</v>
      </c>
      <c r="E167" s="1" t="s">
        <v>90</v>
      </c>
      <c r="F167" s="1" t="s">
        <v>91</v>
      </c>
      <c r="G167" s="1">
        <v>1</v>
      </c>
      <c r="H167" s="1" t="s">
        <v>429</v>
      </c>
      <c r="I167" s="1" t="s">
        <v>773</v>
      </c>
      <c r="J167" s="1" t="s">
        <v>765</v>
      </c>
      <c r="K167" s="1" t="s">
        <v>774</v>
      </c>
      <c r="L167" s="1" t="s">
        <v>127</v>
      </c>
      <c r="M167" s="1" t="s">
        <v>51</v>
      </c>
      <c r="N167" s="1"/>
      <c r="O167" s="1">
        <f t="shared" si="2"/>
        <v>1</v>
      </c>
      <c r="P167" s="1" t="s">
        <v>526</v>
      </c>
    </row>
    <row r="168" spans="1:16" ht="69.25" customHeight="1">
      <c r="A168" s="1" t="s">
        <v>9</v>
      </c>
      <c r="B168" s="1" t="s">
        <v>16</v>
      </c>
      <c r="C168" s="1">
        <v>2022</v>
      </c>
      <c r="D168" s="1" t="s">
        <v>18</v>
      </c>
      <c r="E168" s="1" t="s">
        <v>94</v>
      </c>
      <c r="F168" s="1" t="s">
        <v>95</v>
      </c>
      <c r="G168" s="1">
        <v>1</v>
      </c>
      <c r="H168" s="1" t="s">
        <v>429</v>
      </c>
      <c r="I168" s="1" t="s">
        <v>775</v>
      </c>
      <c r="J168" s="1" t="s">
        <v>765</v>
      </c>
      <c r="K168" s="1" t="s">
        <v>776</v>
      </c>
      <c r="L168" s="1" t="s">
        <v>127</v>
      </c>
      <c r="M168" s="1" t="s">
        <v>51</v>
      </c>
      <c r="N168" s="1"/>
      <c r="O168" s="1">
        <f t="shared" si="2"/>
        <v>1</v>
      </c>
      <c r="P168" s="1" t="s">
        <v>643</v>
      </c>
    </row>
    <row r="169" spans="1:16" ht="69.25" customHeight="1">
      <c r="A169" s="1" t="s">
        <v>9</v>
      </c>
      <c r="B169" s="1" t="s">
        <v>16</v>
      </c>
      <c r="C169" s="1">
        <v>2022</v>
      </c>
      <c r="D169" s="1" t="s">
        <v>18</v>
      </c>
      <c r="E169" s="1" t="s">
        <v>98</v>
      </c>
      <c r="F169" s="1" t="s">
        <v>99</v>
      </c>
      <c r="G169" s="1">
        <v>0</v>
      </c>
      <c r="H169" s="1" t="s">
        <v>434</v>
      </c>
      <c r="I169" s="1" t="s">
        <v>777</v>
      </c>
      <c r="J169" s="1" t="s">
        <v>765</v>
      </c>
      <c r="K169" s="1" t="s">
        <v>761</v>
      </c>
      <c r="L169" s="1" t="s">
        <v>127</v>
      </c>
      <c r="M169" s="1" t="s">
        <v>51</v>
      </c>
      <c r="N169" s="1"/>
      <c r="O169" s="1">
        <f t="shared" si="2"/>
        <v>0</v>
      </c>
      <c r="P169" s="1" t="s">
        <v>472</v>
      </c>
    </row>
    <row r="170" spans="1:16" ht="69.25" customHeight="1">
      <c r="A170" s="1" t="s">
        <v>9</v>
      </c>
      <c r="B170" s="1" t="s">
        <v>16</v>
      </c>
      <c r="C170" s="1">
        <v>2022</v>
      </c>
      <c r="D170" s="1" t="s">
        <v>18</v>
      </c>
      <c r="E170" s="1" t="s">
        <v>102</v>
      </c>
      <c r="F170" s="1" t="s">
        <v>103</v>
      </c>
      <c r="G170" s="1">
        <v>0</v>
      </c>
      <c r="H170" s="1" t="s">
        <v>434</v>
      </c>
      <c r="I170" s="1" t="s">
        <v>778</v>
      </c>
      <c r="J170" s="1" t="s">
        <v>765</v>
      </c>
      <c r="K170" s="1" t="s">
        <v>779</v>
      </c>
      <c r="L170" s="1" t="s">
        <v>127</v>
      </c>
      <c r="M170" s="1" t="s">
        <v>51</v>
      </c>
      <c r="N170" s="1"/>
      <c r="O170" s="1">
        <f t="shared" si="2"/>
        <v>0</v>
      </c>
      <c r="P170" s="1" t="s">
        <v>452</v>
      </c>
    </row>
    <row r="171" spans="1:16" ht="69.25" customHeight="1">
      <c r="A171" s="1" t="s">
        <v>9</v>
      </c>
      <c r="B171" s="1" t="s">
        <v>16</v>
      </c>
      <c r="C171" s="1">
        <v>2022</v>
      </c>
      <c r="D171" s="1" t="s">
        <v>18</v>
      </c>
      <c r="E171" s="1" t="s">
        <v>106</v>
      </c>
      <c r="F171" s="1" t="s">
        <v>107</v>
      </c>
      <c r="G171" s="1">
        <v>0</v>
      </c>
      <c r="H171" s="1" t="s">
        <v>445</v>
      </c>
      <c r="I171" s="1" t="s">
        <v>780</v>
      </c>
      <c r="J171" s="1" t="s">
        <v>765</v>
      </c>
      <c r="K171" s="1" t="s">
        <v>781</v>
      </c>
      <c r="L171" s="1" t="s">
        <v>127</v>
      </c>
      <c r="M171" s="1" t="s">
        <v>51</v>
      </c>
      <c r="N171" s="1"/>
      <c r="O171" s="1">
        <f t="shared" si="2"/>
        <v>0</v>
      </c>
      <c r="P171" s="1" t="s">
        <v>448</v>
      </c>
    </row>
    <row r="172" spans="1:16" ht="69.25" customHeight="1">
      <c r="A172" s="1" t="s">
        <v>9</v>
      </c>
      <c r="B172" s="1" t="s">
        <v>16</v>
      </c>
      <c r="C172" s="1">
        <v>2023</v>
      </c>
      <c r="D172" s="1" t="s">
        <v>18</v>
      </c>
      <c r="E172" s="1" t="s">
        <v>70</v>
      </c>
      <c r="F172" s="1" t="s">
        <v>71</v>
      </c>
      <c r="G172" s="1">
        <v>1</v>
      </c>
      <c r="H172" s="1" t="s">
        <v>429</v>
      </c>
      <c r="I172" s="1" t="s">
        <v>782</v>
      </c>
      <c r="J172" s="1" t="s">
        <v>783</v>
      </c>
      <c r="K172" s="1" t="s">
        <v>645</v>
      </c>
      <c r="L172" s="1" t="s">
        <v>127</v>
      </c>
      <c r="M172" s="1" t="s">
        <v>51</v>
      </c>
      <c r="N172" s="1"/>
      <c r="O172" s="1">
        <f t="shared" si="2"/>
        <v>1</v>
      </c>
      <c r="P172" s="1" t="s">
        <v>433</v>
      </c>
    </row>
    <row r="173" spans="1:16" ht="69.25" customHeight="1">
      <c r="A173" s="1" t="s">
        <v>9</v>
      </c>
      <c r="B173" s="1" t="s">
        <v>16</v>
      </c>
      <c r="C173" s="1">
        <v>2023</v>
      </c>
      <c r="D173" s="1" t="s">
        <v>18</v>
      </c>
      <c r="E173" s="1" t="s">
        <v>74</v>
      </c>
      <c r="F173" s="1" t="s">
        <v>75</v>
      </c>
      <c r="G173" s="1">
        <v>1</v>
      </c>
      <c r="H173" s="1" t="s">
        <v>429</v>
      </c>
      <c r="I173" s="1" t="s">
        <v>784</v>
      </c>
      <c r="J173" s="1" t="s">
        <v>785</v>
      </c>
      <c r="K173" s="1" t="s">
        <v>786</v>
      </c>
      <c r="L173" s="1" t="s">
        <v>127</v>
      </c>
      <c r="M173" s="1" t="s">
        <v>51</v>
      </c>
      <c r="N173" s="1"/>
      <c r="O173" s="1">
        <f t="shared" si="2"/>
        <v>1</v>
      </c>
      <c r="P173" s="1" t="s">
        <v>460</v>
      </c>
    </row>
    <row r="174" spans="1:16" ht="69.25" customHeight="1">
      <c r="A174" s="1" t="s">
        <v>9</v>
      </c>
      <c r="B174" s="1" t="s">
        <v>16</v>
      </c>
      <c r="C174" s="1">
        <v>2023</v>
      </c>
      <c r="D174" s="1" t="s">
        <v>18</v>
      </c>
      <c r="E174" s="1" t="s">
        <v>78</v>
      </c>
      <c r="F174" s="1" t="s">
        <v>79</v>
      </c>
      <c r="G174" s="1">
        <v>0</v>
      </c>
      <c r="H174" s="1" t="s">
        <v>434</v>
      </c>
      <c r="I174" s="1" t="s">
        <v>787</v>
      </c>
      <c r="J174" s="1" t="s">
        <v>783</v>
      </c>
      <c r="K174" s="1" t="s">
        <v>788</v>
      </c>
      <c r="L174" s="1" t="s">
        <v>127</v>
      </c>
      <c r="M174" s="1" t="s">
        <v>51</v>
      </c>
      <c r="N174" s="1"/>
      <c r="O174" s="1">
        <f t="shared" si="2"/>
        <v>0</v>
      </c>
      <c r="P174" s="1" t="s">
        <v>439</v>
      </c>
    </row>
    <row r="175" spans="1:16" ht="69.25" customHeight="1">
      <c r="A175" s="1" t="s">
        <v>9</v>
      </c>
      <c r="B175" s="1" t="s">
        <v>16</v>
      </c>
      <c r="C175" s="1">
        <v>2023</v>
      </c>
      <c r="D175" s="1" t="s">
        <v>18</v>
      </c>
      <c r="E175" s="1" t="s">
        <v>82</v>
      </c>
      <c r="F175" s="1" t="s">
        <v>83</v>
      </c>
      <c r="G175" s="1">
        <v>0</v>
      </c>
      <c r="H175" s="1" t="s">
        <v>445</v>
      </c>
      <c r="I175" s="1" t="s">
        <v>789</v>
      </c>
      <c r="J175" s="1" t="s">
        <v>785</v>
      </c>
      <c r="K175" s="1" t="s">
        <v>790</v>
      </c>
      <c r="L175" s="1" t="s">
        <v>127</v>
      </c>
      <c r="M175" s="1" t="s">
        <v>51</v>
      </c>
      <c r="N175" s="1"/>
      <c r="O175" s="1">
        <f t="shared" si="2"/>
        <v>0</v>
      </c>
      <c r="P175" s="1" t="s">
        <v>448</v>
      </c>
    </row>
    <row r="176" spans="1:16" ht="69.25" customHeight="1">
      <c r="A176" s="1" t="s">
        <v>9</v>
      </c>
      <c r="B176" s="1" t="s">
        <v>16</v>
      </c>
      <c r="C176" s="1">
        <v>2023</v>
      </c>
      <c r="D176" s="1" t="s">
        <v>18</v>
      </c>
      <c r="E176" s="1" t="s">
        <v>86</v>
      </c>
      <c r="F176" s="1" t="s">
        <v>87</v>
      </c>
      <c r="G176" s="1">
        <v>1</v>
      </c>
      <c r="H176" s="1" t="s">
        <v>429</v>
      </c>
      <c r="I176" s="1" t="s">
        <v>791</v>
      </c>
      <c r="J176" s="1" t="s">
        <v>783</v>
      </c>
      <c r="K176" s="1" t="s">
        <v>792</v>
      </c>
      <c r="L176" s="1" t="s">
        <v>127</v>
      </c>
      <c r="M176" s="1" t="s">
        <v>51</v>
      </c>
      <c r="N176" s="1"/>
      <c r="O176" s="1">
        <f t="shared" si="2"/>
        <v>1</v>
      </c>
      <c r="P176" s="1" t="s">
        <v>467</v>
      </c>
    </row>
    <row r="177" spans="1:16" ht="69.25" customHeight="1">
      <c r="A177" s="1" t="s">
        <v>9</v>
      </c>
      <c r="B177" s="1" t="s">
        <v>16</v>
      </c>
      <c r="C177" s="1">
        <v>2023</v>
      </c>
      <c r="D177" s="1" t="s">
        <v>18</v>
      </c>
      <c r="E177" s="1" t="s">
        <v>90</v>
      </c>
      <c r="F177" s="1" t="s">
        <v>91</v>
      </c>
      <c r="G177" s="1">
        <v>1</v>
      </c>
      <c r="H177" s="1" t="s">
        <v>429</v>
      </c>
      <c r="I177" s="1" t="s">
        <v>789</v>
      </c>
      <c r="J177" s="1" t="s">
        <v>785</v>
      </c>
      <c r="K177" s="1" t="s">
        <v>790</v>
      </c>
      <c r="L177" s="1" t="s">
        <v>127</v>
      </c>
      <c r="M177" s="1" t="s">
        <v>51</v>
      </c>
      <c r="N177" s="1"/>
      <c r="O177" s="1">
        <f t="shared" si="2"/>
        <v>1</v>
      </c>
      <c r="P177" s="1" t="s">
        <v>526</v>
      </c>
    </row>
    <row r="178" spans="1:16" ht="69.25" customHeight="1">
      <c r="A178" s="1" t="s">
        <v>9</v>
      </c>
      <c r="B178" s="1" t="s">
        <v>16</v>
      </c>
      <c r="C178" s="1">
        <v>2023</v>
      </c>
      <c r="D178" s="1" t="s">
        <v>18</v>
      </c>
      <c r="E178" s="1" t="s">
        <v>94</v>
      </c>
      <c r="F178" s="1" t="s">
        <v>95</v>
      </c>
      <c r="G178" s="1">
        <v>0</v>
      </c>
      <c r="H178" s="1" t="s">
        <v>434</v>
      </c>
      <c r="I178" s="1" t="s">
        <v>793</v>
      </c>
      <c r="J178" s="1" t="s">
        <v>785</v>
      </c>
      <c r="K178" s="1" t="s">
        <v>794</v>
      </c>
      <c r="L178" s="1" t="s">
        <v>127</v>
      </c>
      <c r="M178" s="1" t="s">
        <v>51</v>
      </c>
      <c r="N178" s="1"/>
      <c r="O178" s="1">
        <f t="shared" si="2"/>
        <v>0</v>
      </c>
      <c r="P178" s="1" t="s">
        <v>795</v>
      </c>
    </row>
    <row r="179" spans="1:16" ht="69.25" customHeight="1">
      <c r="A179" s="1" t="s">
        <v>9</v>
      </c>
      <c r="B179" s="1" t="s">
        <v>16</v>
      </c>
      <c r="C179" s="1">
        <v>2023</v>
      </c>
      <c r="D179" s="1" t="s">
        <v>18</v>
      </c>
      <c r="E179" s="1" t="s">
        <v>98</v>
      </c>
      <c r="F179" s="1" t="s">
        <v>99</v>
      </c>
      <c r="G179" s="1">
        <v>1</v>
      </c>
      <c r="H179" s="1" t="s">
        <v>429</v>
      </c>
      <c r="I179" s="1" t="s">
        <v>796</v>
      </c>
      <c r="J179" s="1" t="s">
        <v>783</v>
      </c>
      <c r="K179" s="1" t="s">
        <v>797</v>
      </c>
      <c r="L179" s="1" t="s">
        <v>127</v>
      </c>
      <c r="M179" s="1" t="s">
        <v>51</v>
      </c>
      <c r="N179" s="1"/>
      <c r="O179" s="1">
        <f t="shared" si="2"/>
        <v>1</v>
      </c>
      <c r="P179" s="1" t="s">
        <v>451</v>
      </c>
    </row>
    <row r="180" spans="1:16" ht="69.25" customHeight="1">
      <c r="A180" s="1" t="s">
        <v>9</v>
      </c>
      <c r="B180" s="1" t="s">
        <v>16</v>
      </c>
      <c r="C180" s="1">
        <v>2023</v>
      </c>
      <c r="D180" s="1" t="s">
        <v>18</v>
      </c>
      <c r="E180" s="1" t="s">
        <v>102</v>
      </c>
      <c r="F180" s="1" t="s">
        <v>103</v>
      </c>
      <c r="G180" s="1">
        <v>0</v>
      </c>
      <c r="H180" s="1" t="s">
        <v>434</v>
      </c>
      <c r="I180" s="1" t="s">
        <v>798</v>
      </c>
      <c r="J180" s="1" t="s">
        <v>783</v>
      </c>
      <c r="K180" s="1" t="s">
        <v>799</v>
      </c>
      <c r="L180" s="1" t="s">
        <v>127</v>
      </c>
      <c r="M180" s="1" t="s">
        <v>51</v>
      </c>
      <c r="N180" s="1"/>
      <c r="O180" s="1">
        <f t="shared" si="2"/>
        <v>0</v>
      </c>
      <c r="P180" s="1" t="s">
        <v>452</v>
      </c>
    </row>
    <row r="181" spans="1:16" ht="69.25" customHeight="1">
      <c r="A181" s="1" t="s">
        <v>9</v>
      </c>
      <c r="B181" s="1" t="s">
        <v>16</v>
      </c>
      <c r="C181" s="1">
        <v>2023</v>
      </c>
      <c r="D181" s="1" t="s">
        <v>18</v>
      </c>
      <c r="E181" s="1" t="s">
        <v>106</v>
      </c>
      <c r="F181" s="1" t="s">
        <v>107</v>
      </c>
      <c r="G181" s="1">
        <v>0</v>
      </c>
      <c r="H181" s="1" t="s">
        <v>445</v>
      </c>
      <c r="I181" s="1" t="s">
        <v>800</v>
      </c>
      <c r="J181" s="1" t="s">
        <v>783</v>
      </c>
      <c r="K181" s="1" t="s">
        <v>801</v>
      </c>
      <c r="L181" s="1" t="s">
        <v>127</v>
      </c>
      <c r="M181" s="1" t="s">
        <v>51</v>
      </c>
      <c r="N181" s="1"/>
      <c r="O181" s="1">
        <f t="shared" si="2"/>
        <v>0</v>
      </c>
      <c r="P181" s="1" t="s">
        <v>448</v>
      </c>
    </row>
    <row r="182" spans="1:16" ht="69.25" customHeight="1">
      <c r="A182" s="1" t="s">
        <v>9</v>
      </c>
      <c r="B182" s="1" t="s">
        <v>16</v>
      </c>
      <c r="C182" s="1">
        <v>2024</v>
      </c>
      <c r="D182" s="1" t="s">
        <v>18</v>
      </c>
      <c r="E182" s="1" t="s">
        <v>70</v>
      </c>
      <c r="F182" s="1" t="s">
        <v>71</v>
      </c>
      <c r="G182" s="1">
        <v>1</v>
      </c>
      <c r="H182" s="1" t="s">
        <v>478</v>
      </c>
      <c r="I182" s="1" t="s">
        <v>802</v>
      </c>
      <c r="J182" s="1" t="s">
        <v>803</v>
      </c>
      <c r="K182" s="1" t="s">
        <v>804</v>
      </c>
      <c r="L182" s="1" t="s">
        <v>805</v>
      </c>
      <c r="M182" s="1" t="s">
        <v>51</v>
      </c>
      <c r="N182" s="1"/>
      <c r="O182" s="1">
        <f t="shared" si="2"/>
        <v>1</v>
      </c>
      <c r="P182" s="1" t="s">
        <v>806</v>
      </c>
    </row>
    <row r="183" spans="1:16" ht="69.25" customHeight="1">
      <c r="A183" s="1" t="s">
        <v>9</v>
      </c>
      <c r="B183" s="1" t="s">
        <v>16</v>
      </c>
      <c r="C183" s="1">
        <v>2024</v>
      </c>
      <c r="D183" s="1" t="s">
        <v>18</v>
      </c>
      <c r="E183" s="1" t="s">
        <v>74</v>
      </c>
      <c r="F183" s="1" t="s">
        <v>75</v>
      </c>
      <c r="G183" s="1">
        <v>1</v>
      </c>
      <c r="H183" s="1" t="s">
        <v>478</v>
      </c>
      <c r="I183" s="1" t="s">
        <v>807</v>
      </c>
      <c r="J183" s="1" t="s">
        <v>808</v>
      </c>
      <c r="K183" s="1" t="s">
        <v>804</v>
      </c>
      <c r="L183" s="1" t="s">
        <v>809</v>
      </c>
      <c r="M183" s="1" t="s">
        <v>51</v>
      </c>
      <c r="N183" s="1"/>
      <c r="O183" s="1">
        <f t="shared" si="2"/>
        <v>1</v>
      </c>
      <c r="P183" s="1" t="s">
        <v>810</v>
      </c>
    </row>
    <row r="184" spans="1:16" ht="69.25" customHeight="1">
      <c r="A184" s="1" t="s">
        <v>9</v>
      </c>
      <c r="B184" s="1" t="s">
        <v>16</v>
      </c>
      <c r="C184" s="1">
        <v>2024</v>
      </c>
      <c r="D184" s="1" t="s">
        <v>18</v>
      </c>
      <c r="E184" s="1" t="s">
        <v>78</v>
      </c>
      <c r="F184" s="1" t="s">
        <v>79</v>
      </c>
      <c r="G184" s="1">
        <v>0</v>
      </c>
      <c r="H184" s="1" t="s">
        <v>811</v>
      </c>
      <c r="I184" s="1" t="s">
        <v>812</v>
      </c>
      <c r="J184" s="1" t="s">
        <v>813</v>
      </c>
      <c r="K184" s="1" t="s">
        <v>814</v>
      </c>
      <c r="L184" s="1" t="s">
        <v>815</v>
      </c>
      <c r="M184" s="1" t="s">
        <v>51</v>
      </c>
      <c r="N184" s="1"/>
      <c r="O184" s="1">
        <f t="shared" si="2"/>
        <v>0</v>
      </c>
      <c r="P184" s="1" t="s">
        <v>816</v>
      </c>
    </row>
    <row r="185" spans="1:16" ht="69.25" customHeight="1">
      <c r="A185" s="1" t="s">
        <v>9</v>
      </c>
      <c r="B185" s="1" t="s">
        <v>16</v>
      </c>
      <c r="C185" s="1">
        <v>2024</v>
      </c>
      <c r="D185" s="1" t="s">
        <v>18</v>
      </c>
      <c r="E185" s="1" t="s">
        <v>82</v>
      </c>
      <c r="F185" s="1" t="s">
        <v>83</v>
      </c>
      <c r="G185" s="1">
        <v>1</v>
      </c>
      <c r="H185" s="1" t="s">
        <v>478</v>
      </c>
      <c r="I185" s="1" t="s">
        <v>817</v>
      </c>
      <c r="J185" s="1" t="s">
        <v>818</v>
      </c>
      <c r="K185" s="1" t="s">
        <v>819</v>
      </c>
      <c r="L185" s="1" t="s">
        <v>820</v>
      </c>
      <c r="M185" s="1" t="s">
        <v>51</v>
      </c>
      <c r="N185" s="1"/>
      <c r="O185" s="1">
        <f t="shared" si="2"/>
        <v>1</v>
      </c>
      <c r="P185" s="1" t="s">
        <v>821</v>
      </c>
    </row>
    <row r="186" spans="1:16" ht="69.25" customHeight="1">
      <c r="A186" s="1" t="s">
        <v>9</v>
      </c>
      <c r="B186" s="1" t="s">
        <v>16</v>
      </c>
      <c r="C186" s="1">
        <v>2024</v>
      </c>
      <c r="D186" s="1" t="s">
        <v>18</v>
      </c>
      <c r="E186" s="1" t="s">
        <v>86</v>
      </c>
      <c r="F186" s="1" t="s">
        <v>87</v>
      </c>
      <c r="G186" s="1">
        <v>1</v>
      </c>
      <c r="H186" s="1" t="s">
        <v>478</v>
      </c>
      <c r="I186" s="1" t="s">
        <v>822</v>
      </c>
      <c r="J186" s="1" t="s">
        <v>813</v>
      </c>
      <c r="K186" s="1" t="s">
        <v>823</v>
      </c>
      <c r="L186" s="1" t="s">
        <v>815</v>
      </c>
      <c r="M186" s="1" t="s">
        <v>51</v>
      </c>
      <c r="N186" s="1"/>
      <c r="O186" s="1">
        <f t="shared" si="2"/>
        <v>1</v>
      </c>
      <c r="P186" s="1" t="s">
        <v>824</v>
      </c>
    </row>
    <row r="187" spans="1:16" ht="69.25" customHeight="1">
      <c r="A187" s="1" t="s">
        <v>9</v>
      </c>
      <c r="B187" s="1" t="s">
        <v>16</v>
      </c>
      <c r="C187" s="1">
        <v>2024</v>
      </c>
      <c r="D187" s="1" t="s">
        <v>18</v>
      </c>
      <c r="E187" s="1" t="s">
        <v>90</v>
      </c>
      <c r="F187" s="1" t="s">
        <v>91</v>
      </c>
      <c r="G187" s="1">
        <v>1</v>
      </c>
      <c r="H187" s="1" t="s">
        <v>478</v>
      </c>
      <c r="I187" s="1" t="s">
        <v>825</v>
      </c>
      <c r="J187" s="1" t="s">
        <v>818</v>
      </c>
      <c r="K187" s="1" t="s">
        <v>819</v>
      </c>
      <c r="L187" s="1" t="s">
        <v>820</v>
      </c>
      <c r="M187" s="1" t="s">
        <v>51</v>
      </c>
      <c r="N187" s="1"/>
      <c r="O187" s="1">
        <f t="shared" si="2"/>
        <v>1</v>
      </c>
      <c r="P187" s="1" t="s">
        <v>826</v>
      </c>
    </row>
    <row r="188" spans="1:16" ht="69.25" customHeight="1">
      <c r="A188" s="1" t="s">
        <v>9</v>
      </c>
      <c r="B188" s="1" t="s">
        <v>16</v>
      </c>
      <c r="C188" s="1">
        <v>2024</v>
      </c>
      <c r="D188" s="1" t="s">
        <v>18</v>
      </c>
      <c r="E188" s="1" t="s">
        <v>94</v>
      </c>
      <c r="F188" s="1" t="s">
        <v>95</v>
      </c>
      <c r="G188" s="1">
        <v>1</v>
      </c>
      <c r="H188" s="1" t="s">
        <v>478</v>
      </c>
      <c r="I188" s="1" t="s">
        <v>827</v>
      </c>
      <c r="J188" s="1" t="s">
        <v>828</v>
      </c>
      <c r="K188" s="1" t="s">
        <v>829</v>
      </c>
      <c r="L188" s="1" t="s">
        <v>127</v>
      </c>
      <c r="M188" s="1" t="s">
        <v>51</v>
      </c>
      <c r="N188" s="1"/>
      <c r="O188" s="1">
        <f t="shared" si="2"/>
        <v>1</v>
      </c>
      <c r="P188" s="1" t="s">
        <v>830</v>
      </c>
    </row>
    <row r="189" spans="1:16" ht="69.25" customHeight="1">
      <c r="A189" s="1" t="s">
        <v>9</v>
      </c>
      <c r="B189" s="1" t="s">
        <v>16</v>
      </c>
      <c r="C189" s="1">
        <v>2024</v>
      </c>
      <c r="D189" s="1" t="s">
        <v>18</v>
      </c>
      <c r="E189" s="1" t="s">
        <v>98</v>
      </c>
      <c r="F189" s="1" t="s">
        <v>99</v>
      </c>
      <c r="G189" s="1">
        <v>1</v>
      </c>
      <c r="H189" s="1" t="s">
        <v>478</v>
      </c>
      <c r="I189" s="1" t="s">
        <v>831</v>
      </c>
      <c r="J189" s="1" t="s">
        <v>803</v>
      </c>
      <c r="K189" s="1" t="s">
        <v>591</v>
      </c>
      <c r="L189" s="1" t="s">
        <v>805</v>
      </c>
      <c r="M189" s="1" t="s">
        <v>51</v>
      </c>
      <c r="N189" s="1"/>
      <c r="O189" s="1">
        <f t="shared" si="2"/>
        <v>1</v>
      </c>
      <c r="P189" s="1" t="s">
        <v>832</v>
      </c>
    </row>
    <row r="190" spans="1:16" ht="69.25" customHeight="1">
      <c r="A190" s="1" t="s">
        <v>9</v>
      </c>
      <c r="B190" s="1" t="s">
        <v>16</v>
      </c>
      <c r="C190" s="1">
        <v>2024</v>
      </c>
      <c r="D190" s="1" t="s">
        <v>18</v>
      </c>
      <c r="E190" s="1" t="s">
        <v>102</v>
      </c>
      <c r="F190" s="1" t="s">
        <v>103</v>
      </c>
      <c r="G190" s="1">
        <v>1</v>
      </c>
      <c r="H190" s="1" t="s">
        <v>478</v>
      </c>
      <c r="I190" s="1" t="s">
        <v>833</v>
      </c>
      <c r="J190" s="1" t="s">
        <v>828</v>
      </c>
      <c r="K190" s="1" t="s">
        <v>829</v>
      </c>
      <c r="L190" s="1" t="s">
        <v>127</v>
      </c>
      <c r="M190" s="1" t="s">
        <v>51</v>
      </c>
      <c r="N190" s="1"/>
      <c r="O190" s="1">
        <f t="shared" si="2"/>
        <v>1</v>
      </c>
      <c r="P190" s="1" t="s">
        <v>834</v>
      </c>
    </row>
    <row r="191" spans="1:16" ht="69.25" customHeight="1">
      <c r="A191" s="1" t="s">
        <v>9</v>
      </c>
      <c r="B191" s="1" t="s">
        <v>16</v>
      </c>
      <c r="C191" s="1">
        <v>2024</v>
      </c>
      <c r="D191" s="1" t="s">
        <v>18</v>
      </c>
      <c r="E191" s="1" t="s">
        <v>106</v>
      </c>
      <c r="F191" s="1" t="s">
        <v>107</v>
      </c>
      <c r="G191" s="1">
        <v>1</v>
      </c>
      <c r="H191" s="1" t="s">
        <v>478</v>
      </c>
      <c r="I191" s="1" t="s">
        <v>835</v>
      </c>
      <c r="J191" s="1" t="s">
        <v>836</v>
      </c>
      <c r="K191" s="1" t="s">
        <v>837</v>
      </c>
      <c r="L191" s="1" t="s">
        <v>815</v>
      </c>
      <c r="M191" s="1" t="s">
        <v>51</v>
      </c>
      <c r="N191" s="1"/>
      <c r="O191" s="1">
        <f t="shared" si="2"/>
        <v>1</v>
      </c>
      <c r="P191" s="1" t="s">
        <v>838</v>
      </c>
    </row>
    <row r="192" spans="1:16" ht="69.25" customHeight="1">
      <c r="A192" s="1" t="s">
        <v>9</v>
      </c>
      <c r="B192" s="1" t="s">
        <v>16</v>
      </c>
      <c r="C192" s="1">
        <v>2025</v>
      </c>
      <c r="D192" s="1" t="s">
        <v>18</v>
      </c>
      <c r="E192" s="1" t="s">
        <v>70</v>
      </c>
      <c r="F192" s="1" t="s">
        <v>71</v>
      </c>
      <c r="G192" s="1">
        <v>0</v>
      </c>
      <c r="H192" s="1" t="s">
        <v>445</v>
      </c>
      <c r="I192" s="1" t="s">
        <v>839</v>
      </c>
      <c r="J192" s="1" t="s">
        <v>840</v>
      </c>
      <c r="K192" s="1" t="s">
        <v>841</v>
      </c>
      <c r="L192" s="1" t="s">
        <v>127</v>
      </c>
      <c r="M192" s="1" t="s">
        <v>51</v>
      </c>
      <c r="N192" s="1"/>
      <c r="O192" s="1">
        <f t="shared" si="2"/>
        <v>0</v>
      </c>
      <c r="P192" s="1" t="s">
        <v>448</v>
      </c>
    </row>
    <row r="193" spans="1:16" ht="69.25" customHeight="1">
      <c r="A193" s="1" t="s">
        <v>9</v>
      </c>
      <c r="B193" s="1" t="s">
        <v>16</v>
      </c>
      <c r="C193" s="1">
        <v>2025</v>
      </c>
      <c r="D193" s="1" t="s">
        <v>18</v>
      </c>
      <c r="E193" s="1" t="s">
        <v>74</v>
      </c>
      <c r="F193" s="1" t="s">
        <v>75</v>
      </c>
      <c r="G193" s="1">
        <v>0</v>
      </c>
      <c r="H193" s="1" t="s">
        <v>445</v>
      </c>
      <c r="I193" s="1" t="s">
        <v>842</v>
      </c>
      <c r="J193" s="1" t="s">
        <v>840</v>
      </c>
      <c r="K193" s="1" t="s">
        <v>788</v>
      </c>
      <c r="L193" s="1" t="s">
        <v>127</v>
      </c>
      <c r="M193" s="1" t="s">
        <v>51</v>
      </c>
      <c r="N193" s="1"/>
      <c r="O193" s="1">
        <f t="shared" si="2"/>
        <v>0</v>
      </c>
      <c r="P193" s="1" t="s">
        <v>448</v>
      </c>
    </row>
    <row r="194" spans="1:16" ht="69.25" customHeight="1">
      <c r="A194" s="1" t="s">
        <v>9</v>
      </c>
      <c r="B194" s="1" t="s">
        <v>16</v>
      </c>
      <c r="C194" s="1">
        <v>2025</v>
      </c>
      <c r="D194" s="1" t="s">
        <v>18</v>
      </c>
      <c r="E194" s="1" t="s">
        <v>78</v>
      </c>
      <c r="F194" s="1" t="s">
        <v>79</v>
      </c>
      <c r="G194" s="1">
        <v>0</v>
      </c>
      <c r="H194" s="1" t="s">
        <v>434</v>
      </c>
      <c r="I194" s="1" t="s">
        <v>843</v>
      </c>
      <c r="J194" s="1" t="s">
        <v>840</v>
      </c>
      <c r="K194" s="1" t="s">
        <v>844</v>
      </c>
      <c r="L194" s="1" t="s">
        <v>127</v>
      </c>
      <c r="M194" s="1" t="s">
        <v>51</v>
      </c>
      <c r="N194" s="1"/>
      <c r="O194" s="1">
        <f t="shared" ref="O194:O257" si="3">IF(N194&lt;&gt;"",N194,G194)</f>
        <v>0</v>
      </c>
      <c r="P194" s="1" t="s">
        <v>439</v>
      </c>
    </row>
    <row r="195" spans="1:16" ht="69.25" customHeight="1">
      <c r="A195" s="1" t="s">
        <v>9</v>
      </c>
      <c r="B195" s="1" t="s">
        <v>16</v>
      </c>
      <c r="C195" s="1">
        <v>2025</v>
      </c>
      <c r="D195" s="1" t="s">
        <v>18</v>
      </c>
      <c r="E195" s="1" t="s">
        <v>82</v>
      </c>
      <c r="F195" s="1" t="s">
        <v>83</v>
      </c>
      <c r="G195" s="1">
        <v>1</v>
      </c>
      <c r="H195" s="1" t="s">
        <v>429</v>
      </c>
      <c r="I195" s="1" t="s">
        <v>845</v>
      </c>
      <c r="J195" s="1" t="s">
        <v>846</v>
      </c>
      <c r="K195" s="1" t="s">
        <v>608</v>
      </c>
      <c r="L195" s="1" t="s">
        <v>127</v>
      </c>
      <c r="M195" s="1" t="s">
        <v>51</v>
      </c>
      <c r="N195" s="1"/>
      <c r="O195" s="1">
        <f t="shared" si="3"/>
        <v>1</v>
      </c>
      <c r="P195" s="1" t="s">
        <v>465</v>
      </c>
    </row>
    <row r="196" spans="1:16" ht="69.25" customHeight="1">
      <c r="A196" s="1" t="s">
        <v>9</v>
      </c>
      <c r="B196" s="1" t="s">
        <v>16</v>
      </c>
      <c r="C196" s="1">
        <v>2025</v>
      </c>
      <c r="D196" s="1" t="s">
        <v>18</v>
      </c>
      <c r="E196" s="1" t="s">
        <v>86</v>
      </c>
      <c r="F196" s="1" t="s">
        <v>87</v>
      </c>
      <c r="G196" s="1">
        <v>1</v>
      </c>
      <c r="H196" s="1" t="s">
        <v>429</v>
      </c>
      <c r="I196" s="1" t="s">
        <v>847</v>
      </c>
      <c r="J196" s="1" t="s">
        <v>846</v>
      </c>
      <c r="K196" s="1" t="s">
        <v>608</v>
      </c>
      <c r="L196" s="1" t="s">
        <v>127</v>
      </c>
      <c r="M196" s="1" t="s">
        <v>51</v>
      </c>
      <c r="N196" s="1"/>
      <c r="O196" s="1">
        <f t="shared" si="3"/>
        <v>1</v>
      </c>
      <c r="P196" s="1" t="s">
        <v>467</v>
      </c>
    </row>
    <row r="197" spans="1:16" ht="69.25" customHeight="1">
      <c r="A197" s="1" t="s">
        <v>9</v>
      </c>
      <c r="B197" s="1" t="s">
        <v>16</v>
      </c>
      <c r="C197" s="1">
        <v>2025</v>
      </c>
      <c r="D197" s="1" t="s">
        <v>18</v>
      </c>
      <c r="E197" s="1" t="s">
        <v>90</v>
      </c>
      <c r="F197" s="1" t="s">
        <v>91</v>
      </c>
      <c r="G197" s="1">
        <v>0</v>
      </c>
      <c r="H197" s="1" t="s">
        <v>445</v>
      </c>
      <c r="I197" s="1" t="s">
        <v>848</v>
      </c>
      <c r="J197" s="1" t="s">
        <v>840</v>
      </c>
      <c r="K197" s="1" t="s">
        <v>849</v>
      </c>
      <c r="L197" s="1" t="s">
        <v>127</v>
      </c>
      <c r="M197" s="1" t="s">
        <v>51</v>
      </c>
      <c r="N197" s="1"/>
      <c r="O197" s="1">
        <f t="shared" si="3"/>
        <v>0</v>
      </c>
      <c r="P197" s="1" t="s">
        <v>448</v>
      </c>
    </row>
    <row r="198" spans="1:16" ht="69.25" customHeight="1">
      <c r="A198" s="1" t="s">
        <v>9</v>
      </c>
      <c r="B198" s="1" t="s">
        <v>16</v>
      </c>
      <c r="C198" s="1">
        <v>2025</v>
      </c>
      <c r="D198" s="1" t="s">
        <v>18</v>
      </c>
      <c r="E198" s="1" t="s">
        <v>94</v>
      </c>
      <c r="F198" s="1" t="s">
        <v>95</v>
      </c>
      <c r="G198" s="1">
        <v>1</v>
      </c>
      <c r="H198" s="1" t="s">
        <v>429</v>
      </c>
      <c r="I198" s="1" t="s">
        <v>850</v>
      </c>
      <c r="J198" s="1" t="s">
        <v>840</v>
      </c>
      <c r="K198" s="1" t="s">
        <v>633</v>
      </c>
      <c r="L198" s="1" t="s">
        <v>127</v>
      </c>
      <c r="M198" s="1" t="s">
        <v>51</v>
      </c>
      <c r="N198" s="1"/>
      <c r="O198" s="1">
        <f t="shared" si="3"/>
        <v>1</v>
      </c>
      <c r="P198" s="1" t="s">
        <v>643</v>
      </c>
    </row>
    <row r="199" spans="1:16" ht="69.25" customHeight="1">
      <c r="A199" s="1" t="s">
        <v>9</v>
      </c>
      <c r="B199" s="1" t="s">
        <v>16</v>
      </c>
      <c r="C199" s="1">
        <v>2025</v>
      </c>
      <c r="D199" s="1" t="s">
        <v>18</v>
      </c>
      <c r="E199" s="1" t="s">
        <v>98</v>
      </c>
      <c r="F199" s="1" t="s">
        <v>99</v>
      </c>
      <c r="G199" s="1">
        <v>0</v>
      </c>
      <c r="H199" s="1" t="s">
        <v>445</v>
      </c>
      <c r="I199" s="1" t="s">
        <v>851</v>
      </c>
      <c r="J199" s="1" t="s">
        <v>840</v>
      </c>
      <c r="K199" s="1" t="s">
        <v>852</v>
      </c>
      <c r="L199" s="1" t="s">
        <v>127</v>
      </c>
      <c r="M199" s="1" t="s">
        <v>51</v>
      </c>
      <c r="N199" s="1"/>
      <c r="O199" s="1">
        <f t="shared" si="3"/>
        <v>0</v>
      </c>
      <c r="P199" s="1" t="s">
        <v>448</v>
      </c>
    </row>
    <row r="200" spans="1:16" ht="69.25" customHeight="1">
      <c r="A200" s="1" t="s">
        <v>9</v>
      </c>
      <c r="B200" s="1" t="s">
        <v>16</v>
      </c>
      <c r="C200" s="1">
        <v>2025</v>
      </c>
      <c r="D200" s="1" t="s">
        <v>18</v>
      </c>
      <c r="E200" s="1" t="s">
        <v>102</v>
      </c>
      <c r="F200" s="1" t="s">
        <v>103</v>
      </c>
      <c r="G200" s="1">
        <v>0</v>
      </c>
      <c r="H200" s="1" t="s">
        <v>434</v>
      </c>
      <c r="I200" s="1" t="s">
        <v>853</v>
      </c>
      <c r="J200" s="1" t="s">
        <v>840</v>
      </c>
      <c r="K200" s="1" t="s">
        <v>854</v>
      </c>
      <c r="L200" s="1" t="s">
        <v>127</v>
      </c>
      <c r="M200" s="1" t="s">
        <v>51</v>
      </c>
      <c r="N200" s="1"/>
      <c r="O200" s="1">
        <f t="shared" si="3"/>
        <v>0</v>
      </c>
      <c r="P200" s="1" t="s">
        <v>452</v>
      </c>
    </row>
    <row r="201" spans="1:16" ht="69.25" customHeight="1">
      <c r="A201" s="1" t="s">
        <v>9</v>
      </c>
      <c r="B201" s="1" t="s">
        <v>16</v>
      </c>
      <c r="C201" s="1">
        <v>2025</v>
      </c>
      <c r="D201" s="1" t="s">
        <v>18</v>
      </c>
      <c r="E201" s="1" t="s">
        <v>106</v>
      </c>
      <c r="F201" s="1" t="s">
        <v>107</v>
      </c>
      <c r="G201" s="1">
        <v>0</v>
      </c>
      <c r="H201" s="1" t="s">
        <v>445</v>
      </c>
      <c r="I201" s="1" t="s">
        <v>855</v>
      </c>
      <c r="J201" s="1" t="s">
        <v>840</v>
      </c>
      <c r="K201" s="1" t="s">
        <v>557</v>
      </c>
      <c r="L201" s="1" t="s">
        <v>127</v>
      </c>
      <c r="M201" s="1" t="s">
        <v>51</v>
      </c>
      <c r="N201" s="1"/>
      <c r="O201" s="1">
        <f t="shared" si="3"/>
        <v>0</v>
      </c>
      <c r="P201" s="1" t="s">
        <v>448</v>
      </c>
    </row>
    <row r="202" spans="1:16" ht="69.25" customHeight="1">
      <c r="A202" s="1" t="s">
        <v>9</v>
      </c>
      <c r="B202" s="1" t="s">
        <v>19</v>
      </c>
      <c r="C202" s="1">
        <v>2022</v>
      </c>
      <c r="D202" s="1" t="s">
        <v>21</v>
      </c>
      <c r="E202" s="1" t="s">
        <v>70</v>
      </c>
      <c r="F202" s="1" t="s">
        <v>71</v>
      </c>
      <c r="G202" s="1">
        <v>1</v>
      </c>
      <c r="H202" s="1" t="s">
        <v>429</v>
      </c>
      <c r="I202" s="1" t="s">
        <v>856</v>
      </c>
      <c r="J202" s="1" t="s">
        <v>857</v>
      </c>
      <c r="K202" s="1" t="s">
        <v>704</v>
      </c>
      <c r="L202" s="1" t="s">
        <v>129</v>
      </c>
      <c r="M202" s="1" t="s">
        <v>51</v>
      </c>
      <c r="N202" s="1"/>
      <c r="O202" s="1">
        <f t="shared" si="3"/>
        <v>1</v>
      </c>
      <c r="P202" s="1" t="s">
        <v>433</v>
      </c>
    </row>
    <row r="203" spans="1:16" ht="69.25" customHeight="1">
      <c r="A203" s="1" t="s">
        <v>9</v>
      </c>
      <c r="B203" s="1" t="s">
        <v>19</v>
      </c>
      <c r="C203" s="1">
        <v>2022</v>
      </c>
      <c r="D203" s="1" t="s">
        <v>21</v>
      </c>
      <c r="E203" s="1" t="s">
        <v>74</v>
      </c>
      <c r="F203" s="1" t="s">
        <v>75</v>
      </c>
      <c r="G203" s="1">
        <v>0</v>
      </c>
      <c r="H203" s="1" t="s">
        <v>434</v>
      </c>
      <c r="I203" s="1" t="s">
        <v>858</v>
      </c>
      <c r="J203" s="1" t="s">
        <v>857</v>
      </c>
      <c r="K203" s="1" t="s">
        <v>859</v>
      </c>
      <c r="L203" s="1" t="s">
        <v>129</v>
      </c>
      <c r="M203" s="1" t="s">
        <v>51</v>
      </c>
      <c r="N203" s="1"/>
      <c r="O203" s="1">
        <f t="shared" si="3"/>
        <v>0</v>
      </c>
      <c r="P203" s="1" t="s">
        <v>437</v>
      </c>
    </row>
    <row r="204" spans="1:16" ht="69.25" customHeight="1">
      <c r="A204" s="1" t="s">
        <v>9</v>
      </c>
      <c r="B204" s="1" t="s">
        <v>19</v>
      </c>
      <c r="C204" s="1">
        <v>2022</v>
      </c>
      <c r="D204" s="1" t="s">
        <v>21</v>
      </c>
      <c r="E204" s="1" t="s">
        <v>78</v>
      </c>
      <c r="F204" s="1" t="s">
        <v>79</v>
      </c>
      <c r="G204" s="1">
        <v>0</v>
      </c>
      <c r="H204" s="1" t="s">
        <v>434</v>
      </c>
      <c r="I204" s="1" t="s">
        <v>860</v>
      </c>
      <c r="J204" s="1" t="s">
        <v>857</v>
      </c>
      <c r="K204" s="1" t="s">
        <v>542</v>
      </c>
      <c r="L204" s="1" t="s">
        <v>129</v>
      </c>
      <c r="M204" s="1" t="s">
        <v>51</v>
      </c>
      <c r="N204" s="1"/>
      <c r="O204" s="1">
        <f t="shared" si="3"/>
        <v>0</v>
      </c>
      <c r="P204" s="1" t="s">
        <v>439</v>
      </c>
    </row>
    <row r="205" spans="1:16" ht="69.25" customHeight="1">
      <c r="A205" s="1" t="s">
        <v>9</v>
      </c>
      <c r="B205" s="1" t="s">
        <v>19</v>
      </c>
      <c r="C205" s="1">
        <v>2022</v>
      </c>
      <c r="D205" s="1" t="s">
        <v>21</v>
      </c>
      <c r="E205" s="1" t="s">
        <v>82</v>
      </c>
      <c r="F205" s="1" t="s">
        <v>83</v>
      </c>
      <c r="G205" s="1">
        <v>0</v>
      </c>
      <c r="H205" s="1" t="s">
        <v>434</v>
      </c>
      <c r="I205" s="1" t="s">
        <v>440</v>
      </c>
      <c r="J205" s="1" t="s">
        <v>857</v>
      </c>
      <c r="K205" s="1"/>
      <c r="L205" s="1" t="s">
        <v>129</v>
      </c>
      <c r="M205" s="1" t="s">
        <v>51</v>
      </c>
      <c r="N205" s="1"/>
      <c r="O205" s="1">
        <f t="shared" si="3"/>
        <v>0</v>
      </c>
      <c r="P205" s="1" t="s">
        <v>441</v>
      </c>
    </row>
    <row r="206" spans="1:16" ht="69.25" customHeight="1">
      <c r="A206" s="1" t="s">
        <v>9</v>
      </c>
      <c r="B206" s="1" t="s">
        <v>19</v>
      </c>
      <c r="C206" s="1">
        <v>2022</v>
      </c>
      <c r="D206" s="1" t="s">
        <v>21</v>
      </c>
      <c r="E206" s="1" t="s">
        <v>86</v>
      </c>
      <c r="F206" s="1" t="s">
        <v>87</v>
      </c>
      <c r="G206" s="1">
        <v>0</v>
      </c>
      <c r="H206" s="1" t="s">
        <v>434</v>
      </c>
      <c r="I206" s="1" t="s">
        <v>440</v>
      </c>
      <c r="J206" s="1" t="s">
        <v>857</v>
      </c>
      <c r="K206" s="1"/>
      <c r="L206" s="1" t="s">
        <v>129</v>
      </c>
      <c r="M206" s="1" t="s">
        <v>51</v>
      </c>
      <c r="N206" s="1"/>
      <c r="O206" s="1">
        <f t="shared" si="3"/>
        <v>0</v>
      </c>
      <c r="P206" s="1" t="s">
        <v>441</v>
      </c>
    </row>
    <row r="207" spans="1:16" ht="69.25" customHeight="1">
      <c r="A207" s="1" t="s">
        <v>9</v>
      </c>
      <c r="B207" s="1" t="s">
        <v>19</v>
      </c>
      <c r="C207" s="1">
        <v>2022</v>
      </c>
      <c r="D207" s="1" t="s">
        <v>21</v>
      </c>
      <c r="E207" s="1" t="s">
        <v>90</v>
      </c>
      <c r="F207" s="1" t="s">
        <v>91</v>
      </c>
      <c r="G207" s="1">
        <v>0</v>
      </c>
      <c r="H207" s="1" t="s">
        <v>434</v>
      </c>
      <c r="I207" s="1" t="s">
        <v>861</v>
      </c>
      <c r="J207" s="1" t="s">
        <v>857</v>
      </c>
      <c r="K207" s="1" t="s">
        <v>561</v>
      </c>
      <c r="L207" s="1" t="s">
        <v>129</v>
      </c>
      <c r="M207" s="1" t="s">
        <v>51</v>
      </c>
      <c r="N207" s="1"/>
      <c r="O207" s="1">
        <f t="shared" si="3"/>
        <v>0</v>
      </c>
      <c r="P207" s="1" t="s">
        <v>444</v>
      </c>
    </row>
    <row r="208" spans="1:16" ht="69.25" customHeight="1">
      <c r="A208" s="1" t="s">
        <v>9</v>
      </c>
      <c r="B208" s="1" t="s">
        <v>19</v>
      </c>
      <c r="C208" s="1">
        <v>2022</v>
      </c>
      <c r="D208" s="1" t="s">
        <v>21</v>
      </c>
      <c r="E208" s="1" t="s">
        <v>94</v>
      </c>
      <c r="F208" s="1" t="s">
        <v>95</v>
      </c>
      <c r="G208" s="1">
        <v>0</v>
      </c>
      <c r="H208" s="1" t="s">
        <v>434</v>
      </c>
      <c r="I208" s="1" t="s">
        <v>862</v>
      </c>
      <c r="J208" s="1" t="s">
        <v>857</v>
      </c>
      <c r="K208" s="1" t="s">
        <v>561</v>
      </c>
      <c r="L208" s="1" t="s">
        <v>129</v>
      </c>
      <c r="M208" s="1" t="s">
        <v>51</v>
      </c>
      <c r="N208" s="1"/>
      <c r="O208" s="1">
        <f t="shared" si="3"/>
        <v>0</v>
      </c>
      <c r="P208" s="1" t="s">
        <v>795</v>
      </c>
    </row>
    <row r="209" spans="1:16" ht="69.25" customHeight="1">
      <c r="A209" s="1" t="s">
        <v>9</v>
      </c>
      <c r="B209" s="1" t="s">
        <v>19</v>
      </c>
      <c r="C209" s="1">
        <v>2022</v>
      </c>
      <c r="D209" s="1" t="s">
        <v>21</v>
      </c>
      <c r="E209" s="1" t="s">
        <v>98</v>
      </c>
      <c r="F209" s="1" t="s">
        <v>99</v>
      </c>
      <c r="G209" s="1">
        <v>1</v>
      </c>
      <c r="H209" s="1" t="s">
        <v>429</v>
      </c>
      <c r="I209" s="1" t="s">
        <v>863</v>
      </c>
      <c r="J209" s="1" t="s">
        <v>857</v>
      </c>
      <c r="K209" s="1" t="s">
        <v>864</v>
      </c>
      <c r="L209" s="1" t="s">
        <v>129</v>
      </c>
      <c r="M209" s="1" t="s">
        <v>51</v>
      </c>
      <c r="N209" s="1"/>
      <c r="O209" s="1">
        <f t="shared" si="3"/>
        <v>1</v>
      </c>
      <c r="P209" s="1" t="s">
        <v>451</v>
      </c>
    </row>
    <row r="210" spans="1:16" ht="69.25" customHeight="1">
      <c r="A210" s="1" t="s">
        <v>9</v>
      </c>
      <c r="B210" s="1" t="s">
        <v>19</v>
      </c>
      <c r="C210" s="1">
        <v>2022</v>
      </c>
      <c r="D210" s="1" t="s">
        <v>21</v>
      </c>
      <c r="E210" s="1" t="s">
        <v>102</v>
      </c>
      <c r="F210" s="1" t="s">
        <v>103</v>
      </c>
      <c r="G210" s="1">
        <v>1</v>
      </c>
      <c r="H210" s="1" t="s">
        <v>429</v>
      </c>
      <c r="I210" s="1" t="s">
        <v>858</v>
      </c>
      <c r="J210" s="1" t="s">
        <v>857</v>
      </c>
      <c r="K210" s="1" t="s">
        <v>859</v>
      </c>
      <c r="L210" s="1" t="s">
        <v>129</v>
      </c>
      <c r="M210" s="1" t="s">
        <v>51</v>
      </c>
      <c r="N210" s="1"/>
      <c r="O210" s="1">
        <f t="shared" si="3"/>
        <v>1</v>
      </c>
      <c r="P210" s="1" t="s">
        <v>475</v>
      </c>
    </row>
    <row r="211" spans="1:16" ht="69.25" customHeight="1">
      <c r="A211" s="1" t="s">
        <v>9</v>
      </c>
      <c r="B211" s="1" t="s">
        <v>19</v>
      </c>
      <c r="C211" s="1">
        <v>2022</v>
      </c>
      <c r="D211" s="1" t="s">
        <v>21</v>
      </c>
      <c r="E211" s="1" t="s">
        <v>106</v>
      </c>
      <c r="F211" s="1" t="s">
        <v>107</v>
      </c>
      <c r="G211" s="1">
        <v>0</v>
      </c>
      <c r="H211" s="1" t="s">
        <v>434</v>
      </c>
      <c r="I211" s="1" t="s">
        <v>865</v>
      </c>
      <c r="J211" s="1" t="s">
        <v>857</v>
      </c>
      <c r="K211" s="1" t="s">
        <v>520</v>
      </c>
      <c r="L211" s="1" t="s">
        <v>129</v>
      </c>
      <c r="M211" s="1" t="s">
        <v>51</v>
      </c>
      <c r="N211" s="1"/>
      <c r="O211" s="1">
        <f t="shared" si="3"/>
        <v>0</v>
      </c>
      <c r="P211" s="1" t="s">
        <v>454</v>
      </c>
    </row>
    <row r="212" spans="1:16" ht="69.25" customHeight="1">
      <c r="A212" s="1" t="s">
        <v>9</v>
      </c>
      <c r="B212" s="1" t="s">
        <v>19</v>
      </c>
      <c r="C212" s="1">
        <v>2023</v>
      </c>
      <c r="D212" s="1" t="s">
        <v>21</v>
      </c>
      <c r="E212" s="1" t="s">
        <v>70</v>
      </c>
      <c r="F212" s="1" t="s">
        <v>71</v>
      </c>
      <c r="G212" s="1">
        <v>1</v>
      </c>
      <c r="H212" s="1" t="s">
        <v>429</v>
      </c>
      <c r="I212" s="1" t="s">
        <v>866</v>
      </c>
      <c r="J212" s="1" t="s">
        <v>867</v>
      </c>
      <c r="K212" s="1" t="s">
        <v>868</v>
      </c>
      <c r="L212" s="1" t="s">
        <v>129</v>
      </c>
      <c r="M212" s="1" t="s">
        <v>51</v>
      </c>
      <c r="N212" s="1"/>
      <c r="O212" s="1">
        <f t="shared" si="3"/>
        <v>1</v>
      </c>
      <c r="P212" s="1" t="s">
        <v>433</v>
      </c>
    </row>
    <row r="213" spans="1:16" ht="69.25" customHeight="1">
      <c r="A213" s="1" t="s">
        <v>9</v>
      </c>
      <c r="B213" s="1" t="s">
        <v>19</v>
      </c>
      <c r="C213" s="1">
        <v>2023</v>
      </c>
      <c r="D213" s="1" t="s">
        <v>21</v>
      </c>
      <c r="E213" s="1" t="s">
        <v>74</v>
      </c>
      <c r="F213" s="1" t="s">
        <v>75</v>
      </c>
      <c r="G213" s="1">
        <v>0</v>
      </c>
      <c r="H213" s="1" t="s">
        <v>445</v>
      </c>
      <c r="I213" s="1" t="s">
        <v>869</v>
      </c>
      <c r="J213" s="1" t="s">
        <v>867</v>
      </c>
      <c r="K213" s="1" t="s">
        <v>870</v>
      </c>
      <c r="L213" s="1" t="s">
        <v>129</v>
      </c>
      <c r="M213" s="1" t="s">
        <v>51</v>
      </c>
      <c r="N213" s="1"/>
      <c r="O213" s="1">
        <f t="shared" si="3"/>
        <v>0</v>
      </c>
      <c r="P213" s="1" t="s">
        <v>448</v>
      </c>
    </row>
    <row r="214" spans="1:16" ht="69.25" customHeight="1">
      <c r="A214" s="1" t="s">
        <v>9</v>
      </c>
      <c r="B214" s="1" t="s">
        <v>19</v>
      </c>
      <c r="C214" s="1">
        <v>2023</v>
      </c>
      <c r="D214" s="1" t="s">
        <v>21</v>
      </c>
      <c r="E214" s="1" t="s">
        <v>78</v>
      </c>
      <c r="F214" s="1" t="s">
        <v>79</v>
      </c>
      <c r="G214" s="1">
        <v>0</v>
      </c>
      <c r="H214" s="1" t="s">
        <v>434</v>
      </c>
      <c r="I214" s="1" t="s">
        <v>871</v>
      </c>
      <c r="J214" s="1" t="s">
        <v>872</v>
      </c>
      <c r="K214" s="1" t="s">
        <v>873</v>
      </c>
      <c r="L214" s="1" t="s">
        <v>129</v>
      </c>
      <c r="M214" s="1" t="s">
        <v>51</v>
      </c>
      <c r="N214" s="1"/>
      <c r="O214" s="1">
        <f t="shared" si="3"/>
        <v>0</v>
      </c>
      <c r="P214" s="1" t="s">
        <v>439</v>
      </c>
    </row>
    <row r="215" spans="1:16" ht="69.25" customHeight="1">
      <c r="A215" s="1" t="s">
        <v>9</v>
      </c>
      <c r="B215" s="1" t="s">
        <v>19</v>
      </c>
      <c r="C215" s="1">
        <v>2023</v>
      </c>
      <c r="D215" s="1" t="s">
        <v>21</v>
      </c>
      <c r="E215" s="1" t="s">
        <v>82</v>
      </c>
      <c r="F215" s="1" t="s">
        <v>83</v>
      </c>
      <c r="G215" s="1">
        <v>1</v>
      </c>
      <c r="H215" s="1" t="s">
        <v>429</v>
      </c>
      <c r="I215" s="1" t="s">
        <v>874</v>
      </c>
      <c r="J215" s="1" t="s">
        <v>872</v>
      </c>
      <c r="K215" s="1" t="s">
        <v>462</v>
      </c>
      <c r="L215" s="1" t="s">
        <v>129</v>
      </c>
      <c r="M215" s="1" t="s">
        <v>51</v>
      </c>
      <c r="N215" s="1"/>
      <c r="O215" s="1">
        <f t="shared" si="3"/>
        <v>1</v>
      </c>
      <c r="P215" s="1" t="s">
        <v>465</v>
      </c>
    </row>
    <row r="216" spans="1:16" ht="69.25" customHeight="1">
      <c r="A216" s="1" t="s">
        <v>9</v>
      </c>
      <c r="B216" s="1" t="s">
        <v>19</v>
      </c>
      <c r="C216" s="1">
        <v>2023</v>
      </c>
      <c r="D216" s="1" t="s">
        <v>21</v>
      </c>
      <c r="E216" s="1" t="s">
        <v>86</v>
      </c>
      <c r="F216" s="1" t="s">
        <v>87</v>
      </c>
      <c r="G216" s="1">
        <v>1</v>
      </c>
      <c r="H216" s="1" t="s">
        <v>429</v>
      </c>
      <c r="I216" s="1" t="s">
        <v>875</v>
      </c>
      <c r="J216" s="1" t="s">
        <v>872</v>
      </c>
      <c r="K216" s="1" t="s">
        <v>876</v>
      </c>
      <c r="L216" s="1" t="s">
        <v>129</v>
      </c>
      <c r="M216" s="1" t="s">
        <v>51</v>
      </c>
      <c r="N216" s="1"/>
      <c r="O216" s="1">
        <f t="shared" si="3"/>
        <v>1</v>
      </c>
      <c r="P216" s="1" t="s">
        <v>467</v>
      </c>
    </row>
    <row r="217" spans="1:16" ht="69.25" customHeight="1">
      <c r="A217" s="1" t="s">
        <v>9</v>
      </c>
      <c r="B217" s="1" t="s">
        <v>19</v>
      </c>
      <c r="C217" s="1">
        <v>2023</v>
      </c>
      <c r="D217" s="1" t="s">
        <v>21</v>
      </c>
      <c r="E217" s="1" t="s">
        <v>90</v>
      </c>
      <c r="F217" s="1" t="s">
        <v>91</v>
      </c>
      <c r="G217" s="1">
        <v>0</v>
      </c>
      <c r="H217" s="1" t="s">
        <v>445</v>
      </c>
      <c r="I217" s="1" t="s">
        <v>877</v>
      </c>
      <c r="J217" s="1" t="s">
        <v>867</v>
      </c>
      <c r="K217" s="1" t="s">
        <v>870</v>
      </c>
      <c r="L217" s="1" t="s">
        <v>129</v>
      </c>
      <c r="M217" s="1" t="s">
        <v>51</v>
      </c>
      <c r="N217" s="1"/>
      <c r="O217" s="1">
        <f t="shared" si="3"/>
        <v>0</v>
      </c>
      <c r="P217" s="1" t="s">
        <v>448</v>
      </c>
    </row>
    <row r="218" spans="1:16" ht="69.25" customHeight="1">
      <c r="A218" s="1" t="s">
        <v>9</v>
      </c>
      <c r="B218" s="1" t="s">
        <v>19</v>
      </c>
      <c r="C218" s="1">
        <v>2023</v>
      </c>
      <c r="D218" s="1" t="s">
        <v>21</v>
      </c>
      <c r="E218" s="1" t="s">
        <v>94</v>
      </c>
      <c r="F218" s="1" t="s">
        <v>95</v>
      </c>
      <c r="G218" s="1">
        <v>0</v>
      </c>
      <c r="H218" s="1" t="s">
        <v>434</v>
      </c>
      <c r="I218" s="1" t="s">
        <v>878</v>
      </c>
      <c r="J218" s="1" t="s">
        <v>867</v>
      </c>
      <c r="K218" s="1" t="s">
        <v>879</v>
      </c>
      <c r="L218" s="1" t="s">
        <v>129</v>
      </c>
      <c r="M218" s="1" t="s">
        <v>51</v>
      </c>
      <c r="N218" s="1"/>
      <c r="O218" s="1">
        <f t="shared" si="3"/>
        <v>0</v>
      </c>
      <c r="P218" s="1" t="s">
        <v>795</v>
      </c>
    </row>
    <row r="219" spans="1:16" ht="69.25" customHeight="1">
      <c r="A219" s="1" t="s">
        <v>9</v>
      </c>
      <c r="B219" s="1" t="s">
        <v>19</v>
      </c>
      <c r="C219" s="1">
        <v>2023</v>
      </c>
      <c r="D219" s="1" t="s">
        <v>21</v>
      </c>
      <c r="E219" s="1" t="s">
        <v>98</v>
      </c>
      <c r="F219" s="1" t="s">
        <v>99</v>
      </c>
      <c r="G219" s="1">
        <v>1</v>
      </c>
      <c r="H219" s="1" t="s">
        <v>429</v>
      </c>
      <c r="I219" s="1" t="s">
        <v>880</v>
      </c>
      <c r="J219" s="1" t="s">
        <v>867</v>
      </c>
      <c r="K219" s="1" t="s">
        <v>540</v>
      </c>
      <c r="L219" s="1" t="s">
        <v>129</v>
      </c>
      <c r="M219" s="1" t="s">
        <v>51</v>
      </c>
      <c r="N219" s="1"/>
      <c r="O219" s="1">
        <f t="shared" si="3"/>
        <v>1</v>
      </c>
      <c r="P219" s="1" t="s">
        <v>451</v>
      </c>
    </row>
    <row r="220" spans="1:16" ht="69.25" customHeight="1">
      <c r="A220" s="1" t="s">
        <v>9</v>
      </c>
      <c r="B220" s="1" t="s">
        <v>19</v>
      </c>
      <c r="C220" s="1">
        <v>2023</v>
      </c>
      <c r="D220" s="1" t="s">
        <v>21</v>
      </c>
      <c r="E220" s="1" t="s">
        <v>102</v>
      </c>
      <c r="F220" s="1" t="s">
        <v>103</v>
      </c>
      <c r="G220" s="1">
        <v>1</v>
      </c>
      <c r="H220" s="1" t="s">
        <v>429</v>
      </c>
      <c r="I220" s="1" t="s">
        <v>881</v>
      </c>
      <c r="J220" s="1" t="s">
        <v>872</v>
      </c>
      <c r="K220" s="1" t="s">
        <v>613</v>
      </c>
      <c r="L220" s="1" t="s">
        <v>129</v>
      </c>
      <c r="M220" s="1" t="s">
        <v>51</v>
      </c>
      <c r="N220" s="1"/>
      <c r="O220" s="1">
        <f t="shared" si="3"/>
        <v>1</v>
      </c>
      <c r="P220" s="1" t="s">
        <v>475</v>
      </c>
    </row>
    <row r="221" spans="1:16" ht="69.25" customHeight="1">
      <c r="A221" s="1" t="s">
        <v>9</v>
      </c>
      <c r="B221" s="1" t="s">
        <v>19</v>
      </c>
      <c r="C221" s="1">
        <v>2023</v>
      </c>
      <c r="D221" s="1" t="s">
        <v>21</v>
      </c>
      <c r="E221" s="1" t="s">
        <v>106</v>
      </c>
      <c r="F221" s="1" t="s">
        <v>107</v>
      </c>
      <c r="G221" s="1">
        <v>0</v>
      </c>
      <c r="H221" s="1" t="s">
        <v>445</v>
      </c>
      <c r="I221" s="1" t="s">
        <v>882</v>
      </c>
      <c r="J221" s="1" t="s">
        <v>867</v>
      </c>
      <c r="K221" s="1" t="s">
        <v>883</v>
      </c>
      <c r="L221" s="1" t="s">
        <v>129</v>
      </c>
      <c r="M221" s="1" t="s">
        <v>51</v>
      </c>
      <c r="N221" s="1"/>
      <c r="O221" s="1">
        <f t="shared" si="3"/>
        <v>0</v>
      </c>
      <c r="P221" s="1" t="s">
        <v>448</v>
      </c>
    </row>
    <row r="222" spans="1:16" ht="69.25" customHeight="1">
      <c r="A222" s="1" t="s">
        <v>9</v>
      </c>
      <c r="B222" s="1" t="s">
        <v>19</v>
      </c>
      <c r="C222" s="1">
        <v>2024</v>
      </c>
      <c r="D222" s="1" t="s">
        <v>21</v>
      </c>
      <c r="E222" s="1" t="s">
        <v>70</v>
      </c>
      <c r="F222" s="1" t="s">
        <v>71</v>
      </c>
      <c r="G222" s="1">
        <v>1</v>
      </c>
      <c r="H222" s="1" t="s">
        <v>478</v>
      </c>
      <c r="I222" s="1" t="s">
        <v>884</v>
      </c>
      <c r="J222" s="1" t="s">
        <v>885</v>
      </c>
      <c r="K222" s="1" t="s">
        <v>886</v>
      </c>
      <c r="L222" s="1" t="s">
        <v>887</v>
      </c>
      <c r="M222" s="1" t="s">
        <v>51</v>
      </c>
      <c r="N222" s="1"/>
      <c r="O222" s="1">
        <f t="shared" si="3"/>
        <v>1</v>
      </c>
      <c r="P222" s="1" t="s">
        <v>888</v>
      </c>
    </row>
    <row r="223" spans="1:16" ht="69.25" customHeight="1">
      <c r="A223" s="1" t="s">
        <v>9</v>
      </c>
      <c r="B223" s="1" t="s">
        <v>19</v>
      </c>
      <c r="C223" s="1">
        <v>2024</v>
      </c>
      <c r="D223" s="1" t="s">
        <v>21</v>
      </c>
      <c r="E223" s="1" t="s">
        <v>74</v>
      </c>
      <c r="F223" s="1" t="s">
        <v>75</v>
      </c>
      <c r="G223" s="1">
        <v>1</v>
      </c>
      <c r="H223" s="1" t="s">
        <v>478</v>
      </c>
      <c r="I223" s="1" t="s">
        <v>889</v>
      </c>
      <c r="J223" s="1" t="s">
        <v>885</v>
      </c>
      <c r="K223" s="1" t="s">
        <v>890</v>
      </c>
      <c r="L223" s="1" t="s">
        <v>887</v>
      </c>
      <c r="M223" s="1" t="s">
        <v>51</v>
      </c>
      <c r="N223" s="1"/>
      <c r="O223" s="1">
        <f t="shared" si="3"/>
        <v>1</v>
      </c>
      <c r="P223" s="1" t="s">
        <v>891</v>
      </c>
    </row>
    <row r="224" spans="1:16" ht="69.25" customHeight="1">
      <c r="A224" s="1" t="s">
        <v>9</v>
      </c>
      <c r="B224" s="1" t="s">
        <v>19</v>
      </c>
      <c r="C224" s="1">
        <v>2024</v>
      </c>
      <c r="D224" s="1" t="s">
        <v>21</v>
      </c>
      <c r="E224" s="1" t="s">
        <v>78</v>
      </c>
      <c r="F224" s="1" t="s">
        <v>79</v>
      </c>
      <c r="G224" s="1">
        <v>1</v>
      </c>
      <c r="H224" s="1" t="s">
        <v>478</v>
      </c>
      <c r="I224" s="1" t="s">
        <v>892</v>
      </c>
      <c r="J224" s="1" t="s">
        <v>885</v>
      </c>
      <c r="K224" s="1" t="s">
        <v>890</v>
      </c>
      <c r="L224" s="1" t="s">
        <v>887</v>
      </c>
      <c r="M224" s="1" t="s">
        <v>51</v>
      </c>
      <c r="N224" s="1"/>
      <c r="O224" s="1">
        <f t="shared" si="3"/>
        <v>1</v>
      </c>
      <c r="P224" s="1" t="s">
        <v>893</v>
      </c>
    </row>
    <row r="225" spans="1:16" ht="69.25" customHeight="1">
      <c r="A225" s="1" t="s">
        <v>9</v>
      </c>
      <c r="B225" s="1" t="s">
        <v>19</v>
      </c>
      <c r="C225" s="1">
        <v>2024</v>
      </c>
      <c r="D225" s="1" t="s">
        <v>21</v>
      </c>
      <c r="E225" s="1" t="s">
        <v>82</v>
      </c>
      <c r="F225" s="1" t="s">
        <v>83</v>
      </c>
      <c r="G225" s="1">
        <v>1</v>
      </c>
      <c r="H225" s="1" t="s">
        <v>478</v>
      </c>
      <c r="I225" s="1" t="s">
        <v>894</v>
      </c>
      <c r="J225" s="1" t="s">
        <v>885</v>
      </c>
      <c r="K225" s="1" t="s">
        <v>895</v>
      </c>
      <c r="L225" s="1" t="s">
        <v>887</v>
      </c>
      <c r="M225" s="1" t="s">
        <v>51</v>
      </c>
      <c r="N225" s="1"/>
      <c r="O225" s="1">
        <f t="shared" si="3"/>
        <v>1</v>
      </c>
      <c r="P225" s="1" t="s">
        <v>821</v>
      </c>
    </row>
    <row r="226" spans="1:16" ht="69.25" customHeight="1">
      <c r="A226" s="1" t="s">
        <v>9</v>
      </c>
      <c r="B226" s="1" t="s">
        <v>19</v>
      </c>
      <c r="C226" s="1">
        <v>2024</v>
      </c>
      <c r="D226" s="1" t="s">
        <v>21</v>
      </c>
      <c r="E226" s="1" t="s">
        <v>86</v>
      </c>
      <c r="F226" s="1" t="s">
        <v>87</v>
      </c>
      <c r="G226" s="1">
        <v>1</v>
      </c>
      <c r="H226" s="1" t="s">
        <v>478</v>
      </c>
      <c r="I226" s="1" t="s">
        <v>896</v>
      </c>
      <c r="J226" s="1" t="s">
        <v>885</v>
      </c>
      <c r="K226" s="1" t="s">
        <v>897</v>
      </c>
      <c r="L226" s="1" t="s">
        <v>887</v>
      </c>
      <c r="M226" s="1" t="s">
        <v>51</v>
      </c>
      <c r="N226" s="1"/>
      <c r="O226" s="1">
        <f t="shared" si="3"/>
        <v>1</v>
      </c>
      <c r="P226" s="1" t="s">
        <v>898</v>
      </c>
    </row>
    <row r="227" spans="1:16" ht="69.25" customHeight="1">
      <c r="A227" s="1" t="s">
        <v>9</v>
      </c>
      <c r="B227" s="1" t="s">
        <v>19</v>
      </c>
      <c r="C227" s="1">
        <v>2024</v>
      </c>
      <c r="D227" s="1" t="s">
        <v>21</v>
      </c>
      <c r="E227" s="1" t="s">
        <v>90</v>
      </c>
      <c r="F227" s="1" t="s">
        <v>91</v>
      </c>
      <c r="G227" s="1">
        <v>1</v>
      </c>
      <c r="H227" s="1" t="s">
        <v>478</v>
      </c>
      <c r="I227" s="1" t="s">
        <v>899</v>
      </c>
      <c r="J227" s="1" t="s">
        <v>885</v>
      </c>
      <c r="K227" s="1" t="s">
        <v>895</v>
      </c>
      <c r="L227" s="1" t="s">
        <v>887</v>
      </c>
      <c r="M227" s="1" t="s">
        <v>51</v>
      </c>
      <c r="N227" s="1"/>
      <c r="O227" s="1">
        <f t="shared" si="3"/>
        <v>1</v>
      </c>
      <c r="P227" s="1" t="s">
        <v>826</v>
      </c>
    </row>
    <row r="228" spans="1:16" ht="69.25" customHeight="1">
      <c r="A228" s="1" t="s">
        <v>9</v>
      </c>
      <c r="B228" s="1" t="s">
        <v>19</v>
      </c>
      <c r="C228" s="1">
        <v>2024</v>
      </c>
      <c r="D228" s="1" t="s">
        <v>21</v>
      </c>
      <c r="E228" s="1" t="s">
        <v>94</v>
      </c>
      <c r="F228" s="1" t="s">
        <v>95</v>
      </c>
      <c r="G228" s="1">
        <v>1</v>
      </c>
      <c r="H228" s="1" t="s">
        <v>478</v>
      </c>
      <c r="I228" s="1" t="s">
        <v>900</v>
      </c>
      <c r="J228" s="1" t="s">
        <v>885</v>
      </c>
      <c r="K228" s="1" t="s">
        <v>886</v>
      </c>
      <c r="L228" s="1" t="s">
        <v>887</v>
      </c>
      <c r="M228" s="1" t="s">
        <v>51</v>
      </c>
      <c r="N228" s="1"/>
      <c r="O228" s="1">
        <f t="shared" si="3"/>
        <v>1</v>
      </c>
      <c r="P228" s="1" t="s">
        <v>901</v>
      </c>
    </row>
    <row r="229" spans="1:16" ht="69.25" customHeight="1">
      <c r="A229" s="1" t="s">
        <v>9</v>
      </c>
      <c r="B229" s="1" t="s">
        <v>19</v>
      </c>
      <c r="C229" s="1">
        <v>2024</v>
      </c>
      <c r="D229" s="1" t="s">
        <v>21</v>
      </c>
      <c r="E229" s="1" t="s">
        <v>98</v>
      </c>
      <c r="F229" s="1" t="s">
        <v>99</v>
      </c>
      <c r="G229" s="1">
        <v>1</v>
      </c>
      <c r="H229" s="1" t="s">
        <v>478</v>
      </c>
      <c r="I229" s="1" t="s">
        <v>902</v>
      </c>
      <c r="J229" s="1" t="s">
        <v>903</v>
      </c>
      <c r="K229" s="1" t="s">
        <v>591</v>
      </c>
      <c r="L229" s="1" t="s">
        <v>887</v>
      </c>
      <c r="M229" s="1" t="s">
        <v>51</v>
      </c>
      <c r="N229" s="1"/>
      <c r="O229" s="1">
        <f t="shared" si="3"/>
        <v>1</v>
      </c>
      <c r="P229" s="1" t="s">
        <v>904</v>
      </c>
    </row>
    <row r="230" spans="1:16" ht="69.25" customHeight="1">
      <c r="A230" s="1" t="s">
        <v>9</v>
      </c>
      <c r="B230" s="1" t="s">
        <v>19</v>
      </c>
      <c r="C230" s="1">
        <v>2024</v>
      </c>
      <c r="D230" s="1" t="s">
        <v>21</v>
      </c>
      <c r="E230" s="1" t="s">
        <v>102</v>
      </c>
      <c r="F230" s="1" t="s">
        <v>103</v>
      </c>
      <c r="G230" s="1">
        <v>1</v>
      </c>
      <c r="H230" s="1" t="s">
        <v>478</v>
      </c>
      <c r="I230" s="1" t="s">
        <v>905</v>
      </c>
      <c r="J230" s="1" t="s">
        <v>885</v>
      </c>
      <c r="K230" s="1" t="s">
        <v>886</v>
      </c>
      <c r="L230" s="1" t="s">
        <v>887</v>
      </c>
      <c r="M230" s="1" t="s">
        <v>51</v>
      </c>
      <c r="N230" s="1"/>
      <c r="O230" s="1">
        <f t="shared" si="3"/>
        <v>1</v>
      </c>
      <c r="P230" s="1" t="s">
        <v>906</v>
      </c>
    </row>
    <row r="231" spans="1:16" ht="69.25" customHeight="1">
      <c r="A231" s="1" t="s">
        <v>9</v>
      </c>
      <c r="B231" s="1" t="s">
        <v>19</v>
      </c>
      <c r="C231" s="1">
        <v>2024</v>
      </c>
      <c r="D231" s="1" t="s">
        <v>21</v>
      </c>
      <c r="E231" s="1" t="s">
        <v>106</v>
      </c>
      <c r="F231" s="1" t="s">
        <v>107</v>
      </c>
      <c r="G231" s="1">
        <v>1</v>
      </c>
      <c r="H231" s="1" t="s">
        <v>478</v>
      </c>
      <c r="I231" s="1" t="s">
        <v>907</v>
      </c>
      <c r="J231" s="1" t="s">
        <v>885</v>
      </c>
      <c r="K231" s="1" t="s">
        <v>908</v>
      </c>
      <c r="L231" s="1" t="s">
        <v>887</v>
      </c>
      <c r="M231" s="1" t="s">
        <v>51</v>
      </c>
      <c r="N231" s="1"/>
      <c r="O231" s="1">
        <f t="shared" si="3"/>
        <v>1</v>
      </c>
      <c r="P231" s="1" t="s">
        <v>909</v>
      </c>
    </row>
    <row r="232" spans="1:16" ht="69.25" customHeight="1">
      <c r="A232" s="1" t="s">
        <v>9</v>
      </c>
      <c r="B232" s="1" t="s">
        <v>19</v>
      </c>
      <c r="C232" s="1">
        <v>2025</v>
      </c>
      <c r="D232" s="1" t="s">
        <v>21</v>
      </c>
      <c r="E232" s="1" t="s">
        <v>70</v>
      </c>
      <c r="F232" s="1" t="s">
        <v>71</v>
      </c>
      <c r="G232" s="1">
        <v>1</v>
      </c>
      <c r="H232" s="1" t="s">
        <v>429</v>
      </c>
      <c r="I232" s="1" t="s">
        <v>910</v>
      </c>
      <c r="J232" s="1" t="s">
        <v>911</v>
      </c>
      <c r="K232" s="1" t="s">
        <v>606</v>
      </c>
      <c r="L232" s="1" t="s">
        <v>129</v>
      </c>
      <c r="M232" s="1" t="s">
        <v>51</v>
      </c>
      <c r="N232" s="1"/>
      <c r="O232" s="1">
        <f t="shared" si="3"/>
        <v>1</v>
      </c>
      <c r="P232" s="1" t="s">
        <v>433</v>
      </c>
    </row>
    <row r="233" spans="1:16" ht="69.25" customHeight="1">
      <c r="A233" s="1" t="s">
        <v>9</v>
      </c>
      <c r="B233" s="1" t="s">
        <v>19</v>
      </c>
      <c r="C233" s="1">
        <v>2025</v>
      </c>
      <c r="D233" s="1" t="s">
        <v>21</v>
      </c>
      <c r="E233" s="1" t="s">
        <v>74</v>
      </c>
      <c r="F233" s="1" t="s">
        <v>75</v>
      </c>
      <c r="G233" s="1">
        <v>0</v>
      </c>
      <c r="H233" s="1" t="s">
        <v>445</v>
      </c>
      <c r="I233" s="1" t="s">
        <v>912</v>
      </c>
      <c r="J233" s="1" t="s">
        <v>913</v>
      </c>
      <c r="K233" s="1" t="s">
        <v>844</v>
      </c>
      <c r="L233" s="1" t="s">
        <v>129</v>
      </c>
      <c r="M233" s="1" t="s">
        <v>51</v>
      </c>
      <c r="N233" s="1"/>
      <c r="O233" s="1">
        <f t="shared" si="3"/>
        <v>0</v>
      </c>
      <c r="P233" s="1" t="s">
        <v>448</v>
      </c>
    </row>
    <row r="234" spans="1:16" ht="69.25" customHeight="1">
      <c r="A234" s="1" t="s">
        <v>9</v>
      </c>
      <c r="B234" s="1" t="s">
        <v>19</v>
      </c>
      <c r="C234" s="1">
        <v>2025</v>
      </c>
      <c r="D234" s="1" t="s">
        <v>21</v>
      </c>
      <c r="E234" s="1" t="s">
        <v>78</v>
      </c>
      <c r="F234" s="1" t="s">
        <v>79</v>
      </c>
      <c r="G234" s="1">
        <v>1</v>
      </c>
      <c r="H234" s="1" t="s">
        <v>429</v>
      </c>
      <c r="I234" s="1" t="s">
        <v>914</v>
      </c>
      <c r="J234" s="1" t="s">
        <v>911</v>
      </c>
      <c r="K234" s="1" t="s">
        <v>633</v>
      </c>
      <c r="L234" s="1" t="s">
        <v>129</v>
      </c>
      <c r="M234" s="1" t="s">
        <v>51</v>
      </c>
      <c r="N234" s="1"/>
      <c r="O234" s="1">
        <f t="shared" si="3"/>
        <v>1</v>
      </c>
      <c r="P234" s="1" t="s">
        <v>915</v>
      </c>
    </row>
    <row r="235" spans="1:16" ht="69.25" customHeight="1">
      <c r="A235" s="1" t="s">
        <v>9</v>
      </c>
      <c r="B235" s="1" t="s">
        <v>19</v>
      </c>
      <c r="C235" s="1">
        <v>2025</v>
      </c>
      <c r="D235" s="1" t="s">
        <v>21</v>
      </c>
      <c r="E235" s="1" t="s">
        <v>82</v>
      </c>
      <c r="F235" s="1" t="s">
        <v>83</v>
      </c>
      <c r="G235" s="1">
        <v>1</v>
      </c>
      <c r="H235" s="1" t="s">
        <v>429</v>
      </c>
      <c r="I235" s="1" t="s">
        <v>916</v>
      </c>
      <c r="J235" s="1" t="s">
        <v>913</v>
      </c>
      <c r="K235" s="1" t="s">
        <v>844</v>
      </c>
      <c r="L235" s="1" t="s">
        <v>129</v>
      </c>
      <c r="M235" s="1" t="s">
        <v>51</v>
      </c>
      <c r="N235" s="1"/>
      <c r="O235" s="1">
        <f t="shared" si="3"/>
        <v>1</v>
      </c>
      <c r="P235" s="1" t="s">
        <v>465</v>
      </c>
    </row>
    <row r="236" spans="1:16" ht="69.25" customHeight="1">
      <c r="A236" s="1" t="s">
        <v>9</v>
      </c>
      <c r="B236" s="1" t="s">
        <v>19</v>
      </c>
      <c r="C236" s="1">
        <v>2025</v>
      </c>
      <c r="D236" s="1" t="s">
        <v>21</v>
      </c>
      <c r="E236" s="1" t="s">
        <v>86</v>
      </c>
      <c r="F236" s="1" t="s">
        <v>87</v>
      </c>
      <c r="G236" s="1">
        <v>1</v>
      </c>
      <c r="H236" s="1" t="s">
        <v>429</v>
      </c>
      <c r="I236" s="1" t="s">
        <v>917</v>
      </c>
      <c r="J236" s="1" t="s">
        <v>913</v>
      </c>
      <c r="K236" s="1" t="s">
        <v>918</v>
      </c>
      <c r="L236" s="1" t="s">
        <v>129</v>
      </c>
      <c r="M236" s="1" t="s">
        <v>51</v>
      </c>
      <c r="N236" s="1"/>
      <c r="O236" s="1">
        <f t="shared" si="3"/>
        <v>1</v>
      </c>
      <c r="P236" s="1" t="s">
        <v>467</v>
      </c>
    </row>
    <row r="237" spans="1:16" ht="69.25" customHeight="1">
      <c r="A237" s="1" t="s">
        <v>9</v>
      </c>
      <c r="B237" s="1" t="s">
        <v>19</v>
      </c>
      <c r="C237" s="1">
        <v>2025</v>
      </c>
      <c r="D237" s="1" t="s">
        <v>21</v>
      </c>
      <c r="E237" s="1" t="s">
        <v>90</v>
      </c>
      <c r="F237" s="1" t="s">
        <v>91</v>
      </c>
      <c r="G237" s="1">
        <v>0</v>
      </c>
      <c r="H237" s="1" t="s">
        <v>445</v>
      </c>
      <c r="I237" s="1" t="s">
        <v>916</v>
      </c>
      <c r="J237" s="1" t="s">
        <v>913</v>
      </c>
      <c r="K237" s="1" t="s">
        <v>844</v>
      </c>
      <c r="L237" s="1" t="s">
        <v>129</v>
      </c>
      <c r="M237" s="1" t="s">
        <v>51</v>
      </c>
      <c r="N237" s="1"/>
      <c r="O237" s="1">
        <f t="shared" si="3"/>
        <v>0</v>
      </c>
      <c r="P237" s="1" t="s">
        <v>448</v>
      </c>
    </row>
    <row r="238" spans="1:16" ht="69.25" customHeight="1">
      <c r="A238" s="1" t="s">
        <v>9</v>
      </c>
      <c r="B238" s="1" t="s">
        <v>19</v>
      </c>
      <c r="C238" s="1">
        <v>2025</v>
      </c>
      <c r="D238" s="1" t="s">
        <v>21</v>
      </c>
      <c r="E238" s="1" t="s">
        <v>94</v>
      </c>
      <c r="F238" s="1" t="s">
        <v>95</v>
      </c>
      <c r="G238" s="1">
        <v>1</v>
      </c>
      <c r="H238" s="1" t="s">
        <v>429</v>
      </c>
      <c r="I238" s="1" t="s">
        <v>919</v>
      </c>
      <c r="J238" s="1" t="s">
        <v>913</v>
      </c>
      <c r="K238" s="1" t="s">
        <v>852</v>
      </c>
      <c r="L238" s="1" t="s">
        <v>129</v>
      </c>
      <c r="M238" s="1" t="s">
        <v>51</v>
      </c>
      <c r="N238" s="1"/>
      <c r="O238" s="1">
        <f t="shared" si="3"/>
        <v>1</v>
      </c>
      <c r="P238" s="1" t="s">
        <v>643</v>
      </c>
    </row>
    <row r="239" spans="1:16" ht="69.25" customHeight="1">
      <c r="A239" s="1" t="s">
        <v>9</v>
      </c>
      <c r="B239" s="1" t="s">
        <v>19</v>
      </c>
      <c r="C239" s="1">
        <v>2025</v>
      </c>
      <c r="D239" s="1" t="s">
        <v>21</v>
      </c>
      <c r="E239" s="1" t="s">
        <v>98</v>
      </c>
      <c r="F239" s="1" t="s">
        <v>99</v>
      </c>
      <c r="G239" s="1">
        <v>0</v>
      </c>
      <c r="H239" s="1" t="s">
        <v>445</v>
      </c>
      <c r="I239" s="1" t="s">
        <v>920</v>
      </c>
      <c r="J239" s="1" t="s">
        <v>913</v>
      </c>
      <c r="K239" s="1" t="s">
        <v>535</v>
      </c>
      <c r="L239" s="1" t="s">
        <v>129</v>
      </c>
      <c r="M239" s="1" t="s">
        <v>51</v>
      </c>
      <c r="N239" s="1"/>
      <c r="O239" s="1">
        <f t="shared" si="3"/>
        <v>0</v>
      </c>
      <c r="P239" s="1" t="s">
        <v>448</v>
      </c>
    </row>
    <row r="240" spans="1:16" ht="69.25" customHeight="1">
      <c r="A240" s="1" t="s">
        <v>9</v>
      </c>
      <c r="B240" s="1" t="s">
        <v>19</v>
      </c>
      <c r="C240" s="1">
        <v>2025</v>
      </c>
      <c r="D240" s="1" t="s">
        <v>21</v>
      </c>
      <c r="E240" s="1" t="s">
        <v>102</v>
      </c>
      <c r="F240" s="1" t="s">
        <v>103</v>
      </c>
      <c r="G240" s="1">
        <v>1</v>
      </c>
      <c r="H240" s="1" t="s">
        <v>429</v>
      </c>
      <c r="I240" s="1" t="s">
        <v>921</v>
      </c>
      <c r="J240" s="1" t="s">
        <v>913</v>
      </c>
      <c r="K240" s="1" t="s">
        <v>844</v>
      </c>
      <c r="L240" s="1" t="s">
        <v>129</v>
      </c>
      <c r="M240" s="1" t="s">
        <v>51</v>
      </c>
      <c r="N240" s="1"/>
      <c r="O240" s="1">
        <f t="shared" si="3"/>
        <v>1</v>
      </c>
      <c r="P240" s="1" t="s">
        <v>475</v>
      </c>
    </row>
    <row r="241" spans="1:16" ht="69.25" customHeight="1">
      <c r="A241" s="1" t="s">
        <v>9</v>
      </c>
      <c r="B241" s="1" t="s">
        <v>19</v>
      </c>
      <c r="C241" s="1">
        <v>2025</v>
      </c>
      <c r="D241" s="1" t="s">
        <v>21</v>
      </c>
      <c r="E241" s="1" t="s">
        <v>106</v>
      </c>
      <c r="F241" s="1" t="s">
        <v>107</v>
      </c>
      <c r="G241" s="1">
        <v>0</v>
      </c>
      <c r="H241" s="1" t="s">
        <v>445</v>
      </c>
      <c r="I241" s="1" t="s">
        <v>922</v>
      </c>
      <c r="J241" s="1" t="s">
        <v>911</v>
      </c>
      <c r="K241" s="1" t="s">
        <v>923</v>
      </c>
      <c r="L241" s="1" t="s">
        <v>129</v>
      </c>
      <c r="M241" s="1" t="s">
        <v>51</v>
      </c>
      <c r="N241" s="1"/>
      <c r="O241" s="1">
        <f t="shared" si="3"/>
        <v>0</v>
      </c>
      <c r="P241" s="1" t="s">
        <v>448</v>
      </c>
    </row>
    <row r="242" spans="1:16" ht="69.25" customHeight="1">
      <c r="A242" s="1" t="s">
        <v>9</v>
      </c>
      <c r="B242" s="1" t="s">
        <v>22</v>
      </c>
      <c r="C242" s="1">
        <v>2022</v>
      </c>
      <c r="D242" s="1" t="s">
        <v>24</v>
      </c>
      <c r="E242" s="1" t="s">
        <v>70</v>
      </c>
      <c r="F242" s="1" t="s">
        <v>71</v>
      </c>
      <c r="G242" s="1">
        <v>1</v>
      </c>
      <c r="H242" s="1" t="s">
        <v>429</v>
      </c>
      <c r="I242" s="1" t="s">
        <v>924</v>
      </c>
      <c r="J242" s="1" t="s">
        <v>925</v>
      </c>
      <c r="K242" s="1" t="s">
        <v>528</v>
      </c>
      <c r="L242" s="1" t="s">
        <v>131</v>
      </c>
      <c r="M242" s="1" t="s">
        <v>51</v>
      </c>
      <c r="N242" s="1"/>
      <c r="O242" s="1">
        <f t="shared" si="3"/>
        <v>1</v>
      </c>
      <c r="P242" s="1" t="s">
        <v>433</v>
      </c>
    </row>
    <row r="243" spans="1:16" ht="69.25" customHeight="1">
      <c r="A243" s="1" t="s">
        <v>9</v>
      </c>
      <c r="B243" s="1" t="s">
        <v>22</v>
      </c>
      <c r="C243" s="1">
        <v>2022</v>
      </c>
      <c r="D243" s="1" t="s">
        <v>24</v>
      </c>
      <c r="E243" s="1" t="s">
        <v>74</v>
      </c>
      <c r="F243" s="1" t="s">
        <v>75</v>
      </c>
      <c r="G243" s="1">
        <v>0</v>
      </c>
      <c r="H243" s="1" t="s">
        <v>434</v>
      </c>
      <c r="I243" s="1" t="s">
        <v>926</v>
      </c>
      <c r="J243" s="1" t="s">
        <v>925</v>
      </c>
      <c r="K243" s="1" t="s">
        <v>927</v>
      </c>
      <c r="L243" s="1" t="s">
        <v>131</v>
      </c>
      <c r="M243" s="1" t="s">
        <v>51</v>
      </c>
      <c r="N243" s="1"/>
      <c r="O243" s="1">
        <f t="shared" si="3"/>
        <v>0</v>
      </c>
      <c r="P243" s="1" t="s">
        <v>437</v>
      </c>
    </row>
    <row r="244" spans="1:16" ht="69.25" customHeight="1">
      <c r="A244" s="1" t="s">
        <v>9</v>
      </c>
      <c r="B244" s="1" t="s">
        <v>22</v>
      </c>
      <c r="C244" s="1">
        <v>2022</v>
      </c>
      <c r="D244" s="1" t="s">
        <v>24</v>
      </c>
      <c r="E244" s="1" t="s">
        <v>78</v>
      </c>
      <c r="F244" s="1" t="s">
        <v>79</v>
      </c>
      <c r="G244" s="1">
        <v>0</v>
      </c>
      <c r="H244" s="1" t="s">
        <v>434</v>
      </c>
      <c r="I244" s="1" t="s">
        <v>928</v>
      </c>
      <c r="J244" s="1" t="s">
        <v>925</v>
      </c>
      <c r="K244" s="1" t="s">
        <v>927</v>
      </c>
      <c r="L244" s="1" t="s">
        <v>131</v>
      </c>
      <c r="M244" s="1" t="s">
        <v>51</v>
      </c>
      <c r="N244" s="1"/>
      <c r="O244" s="1">
        <f t="shared" si="3"/>
        <v>0</v>
      </c>
      <c r="P244" s="1" t="s">
        <v>439</v>
      </c>
    </row>
    <row r="245" spans="1:16" ht="69.25" customHeight="1">
      <c r="A245" s="1" t="s">
        <v>9</v>
      </c>
      <c r="B245" s="1" t="s">
        <v>22</v>
      </c>
      <c r="C245" s="1">
        <v>2022</v>
      </c>
      <c r="D245" s="1" t="s">
        <v>24</v>
      </c>
      <c r="E245" s="1" t="s">
        <v>82</v>
      </c>
      <c r="F245" s="1" t="s">
        <v>83</v>
      </c>
      <c r="G245" s="1">
        <v>0</v>
      </c>
      <c r="H245" s="1" t="s">
        <v>445</v>
      </c>
      <c r="I245" s="1" t="s">
        <v>929</v>
      </c>
      <c r="J245" s="1" t="s">
        <v>925</v>
      </c>
      <c r="K245" s="1" t="s">
        <v>930</v>
      </c>
      <c r="L245" s="1" t="s">
        <v>131</v>
      </c>
      <c r="M245" s="1" t="s">
        <v>51</v>
      </c>
      <c r="N245" s="1"/>
      <c r="O245" s="1">
        <f t="shared" si="3"/>
        <v>0</v>
      </c>
      <c r="P245" s="1" t="s">
        <v>448</v>
      </c>
    </row>
    <row r="246" spans="1:16" ht="69.25" customHeight="1">
      <c r="A246" s="1" t="s">
        <v>9</v>
      </c>
      <c r="B246" s="1" t="s">
        <v>22</v>
      </c>
      <c r="C246" s="1">
        <v>2022</v>
      </c>
      <c r="D246" s="1" t="s">
        <v>24</v>
      </c>
      <c r="E246" s="1" t="s">
        <v>86</v>
      </c>
      <c r="F246" s="1" t="s">
        <v>87</v>
      </c>
      <c r="G246" s="1">
        <v>1</v>
      </c>
      <c r="H246" s="1" t="s">
        <v>429</v>
      </c>
      <c r="I246" s="1" t="s">
        <v>931</v>
      </c>
      <c r="J246" s="1" t="s">
        <v>925</v>
      </c>
      <c r="K246" s="1" t="s">
        <v>932</v>
      </c>
      <c r="L246" s="1" t="s">
        <v>131</v>
      </c>
      <c r="M246" s="1" t="s">
        <v>51</v>
      </c>
      <c r="N246" s="1"/>
      <c r="O246" s="1">
        <f t="shared" si="3"/>
        <v>1</v>
      </c>
      <c r="P246" s="1" t="s">
        <v>467</v>
      </c>
    </row>
    <row r="247" spans="1:16" ht="69.25" customHeight="1">
      <c r="A247" s="1" t="s">
        <v>9</v>
      </c>
      <c r="B247" s="1" t="s">
        <v>22</v>
      </c>
      <c r="C247" s="1">
        <v>2022</v>
      </c>
      <c r="D247" s="1" t="s">
        <v>24</v>
      </c>
      <c r="E247" s="1" t="s">
        <v>90</v>
      </c>
      <c r="F247" s="1" t="s">
        <v>91</v>
      </c>
      <c r="G247" s="1">
        <v>0</v>
      </c>
      <c r="H247" s="1" t="s">
        <v>445</v>
      </c>
      <c r="I247" s="1" t="s">
        <v>933</v>
      </c>
      <c r="J247" s="1" t="s">
        <v>925</v>
      </c>
      <c r="K247" s="1" t="s">
        <v>932</v>
      </c>
      <c r="L247" s="1" t="s">
        <v>131</v>
      </c>
      <c r="M247" s="1" t="s">
        <v>51</v>
      </c>
      <c r="N247" s="1"/>
      <c r="O247" s="1">
        <f t="shared" si="3"/>
        <v>0</v>
      </c>
      <c r="P247" s="1" t="s">
        <v>448</v>
      </c>
    </row>
    <row r="248" spans="1:16" ht="69.25" customHeight="1">
      <c r="A248" s="1" t="s">
        <v>9</v>
      </c>
      <c r="B248" s="1" t="s">
        <v>22</v>
      </c>
      <c r="C248" s="1">
        <v>2022</v>
      </c>
      <c r="D248" s="1" t="s">
        <v>24</v>
      </c>
      <c r="E248" s="1" t="s">
        <v>94</v>
      </c>
      <c r="F248" s="1" t="s">
        <v>95</v>
      </c>
      <c r="G248" s="1">
        <v>1</v>
      </c>
      <c r="H248" s="1" t="s">
        <v>429</v>
      </c>
      <c r="I248" s="1" t="s">
        <v>934</v>
      </c>
      <c r="J248" s="1" t="s">
        <v>925</v>
      </c>
      <c r="K248" s="1" t="s">
        <v>918</v>
      </c>
      <c r="L248" s="1" t="s">
        <v>131</v>
      </c>
      <c r="M248" s="1" t="s">
        <v>51</v>
      </c>
      <c r="N248" s="1"/>
      <c r="O248" s="1">
        <f t="shared" si="3"/>
        <v>1</v>
      </c>
      <c r="P248" s="1" t="s">
        <v>643</v>
      </c>
    </row>
    <row r="249" spans="1:16" ht="69.25" customHeight="1">
      <c r="A249" s="1" t="s">
        <v>9</v>
      </c>
      <c r="B249" s="1" t="s">
        <v>22</v>
      </c>
      <c r="C249" s="1">
        <v>2022</v>
      </c>
      <c r="D249" s="1" t="s">
        <v>24</v>
      </c>
      <c r="E249" s="1" t="s">
        <v>98</v>
      </c>
      <c r="F249" s="1" t="s">
        <v>99</v>
      </c>
      <c r="G249" s="1">
        <v>0</v>
      </c>
      <c r="H249" s="1" t="s">
        <v>445</v>
      </c>
      <c r="I249" s="1" t="s">
        <v>935</v>
      </c>
      <c r="J249" s="1" t="s">
        <v>925</v>
      </c>
      <c r="K249" s="1" t="s">
        <v>936</v>
      </c>
      <c r="L249" s="1" t="s">
        <v>131</v>
      </c>
      <c r="M249" s="1" t="s">
        <v>51</v>
      </c>
      <c r="N249" s="1"/>
      <c r="O249" s="1">
        <f t="shared" si="3"/>
        <v>0</v>
      </c>
      <c r="P249" s="1" t="s">
        <v>448</v>
      </c>
    </row>
    <row r="250" spans="1:16" ht="69.25" customHeight="1">
      <c r="A250" s="1" t="s">
        <v>9</v>
      </c>
      <c r="B250" s="1" t="s">
        <v>22</v>
      </c>
      <c r="C250" s="1">
        <v>2022</v>
      </c>
      <c r="D250" s="1" t="s">
        <v>24</v>
      </c>
      <c r="E250" s="1" t="s">
        <v>102</v>
      </c>
      <c r="F250" s="1" t="s">
        <v>103</v>
      </c>
      <c r="G250" s="1">
        <v>1</v>
      </c>
      <c r="H250" s="1" t="s">
        <v>429</v>
      </c>
      <c r="I250" s="1" t="s">
        <v>926</v>
      </c>
      <c r="J250" s="1" t="s">
        <v>925</v>
      </c>
      <c r="K250" s="1" t="s">
        <v>927</v>
      </c>
      <c r="L250" s="1" t="s">
        <v>131</v>
      </c>
      <c r="M250" s="1" t="s">
        <v>51</v>
      </c>
      <c r="N250" s="1"/>
      <c r="O250" s="1">
        <f t="shared" si="3"/>
        <v>1</v>
      </c>
      <c r="P250" s="1" t="s">
        <v>475</v>
      </c>
    </row>
    <row r="251" spans="1:16" ht="69.25" customHeight="1">
      <c r="A251" s="1" t="s">
        <v>9</v>
      </c>
      <c r="B251" s="1" t="s">
        <v>22</v>
      </c>
      <c r="C251" s="1">
        <v>2022</v>
      </c>
      <c r="D251" s="1" t="s">
        <v>24</v>
      </c>
      <c r="E251" s="1" t="s">
        <v>106</v>
      </c>
      <c r="F251" s="1" t="s">
        <v>107</v>
      </c>
      <c r="G251" s="1">
        <v>0</v>
      </c>
      <c r="H251" s="1" t="s">
        <v>434</v>
      </c>
      <c r="I251" s="1" t="s">
        <v>937</v>
      </c>
      <c r="J251" s="1" t="s">
        <v>925</v>
      </c>
      <c r="K251" s="1" t="s">
        <v>938</v>
      </c>
      <c r="L251" s="1" t="s">
        <v>131</v>
      </c>
      <c r="M251" s="1" t="s">
        <v>51</v>
      </c>
      <c r="N251" s="1"/>
      <c r="O251" s="1">
        <f t="shared" si="3"/>
        <v>0</v>
      </c>
      <c r="P251" s="1" t="s">
        <v>454</v>
      </c>
    </row>
    <row r="252" spans="1:16" ht="69.25" customHeight="1">
      <c r="A252" s="1" t="s">
        <v>9</v>
      </c>
      <c r="B252" s="1" t="s">
        <v>22</v>
      </c>
      <c r="C252" s="1">
        <v>2023</v>
      </c>
      <c r="D252" s="1" t="s">
        <v>24</v>
      </c>
      <c r="E252" s="1" t="s">
        <v>70</v>
      </c>
      <c r="F252" s="1" t="s">
        <v>71</v>
      </c>
      <c r="G252" s="1">
        <v>1</v>
      </c>
      <c r="H252" s="1" t="s">
        <v>429</v>
      </c>
      <c r="I252" s="1" t="s">
        <v>939</v>
      </c>
      <c r="J252" s="1" t="s">
        <v>940</v>
      </c>
      <c r="K252" s="1" t="s">
        <v>852</v>
      </c>
      <c r="L252" s="1" t="s">
        <v>131</v>
      </c>
      <c r="M252" s="1" t="s">
        <v>51</v>
      </c>
      <c r="N252" s="1"/>
      <c r="O252" s="1">
        <f t="shared" si="3"/>
        <v>1</v>
      </c>
      <c r="P252" s="1" t="s">
        <v>433</v>
      </c>
    </row>
    <row r="253" spans="1:16" ht="69.25" customHeight="1">
      <c r="A253" s="1" t="s">
        <v>9</v>
      </c>
      <c r="B253" s="1" t="s">
        <v>22</v>
      </c>
      <c r="C253" s="1">
        <v>2023</v>
      </c>
      <c r="D253" s="1" t="s">
        <v>24</v>
      </c>
      <c r="E253" s="1" t="s">
        <v>74</v>
      </c>
      <c r="F253" s="1" t="s">
        <v>75</v>
      </c>
      <c r="G253" s="1">
        <v>0</v>
      </c>
      <c r="H253" s="1" t="s">
        <v>445</v>
      </c>
      <c r="I253" s="1" t="s">
        <v>941</v>
      </c>
      <c r="J253" s="1" t="s">
        <v>940</v>
      </c>
      <c r="K253" s="1" t="s">
        <v>942</v>
      </c>
      <c r="L253" s="1" t="s">
        <v>131</v>
      </c>
      <c r="M253" s="1" t="s">
        <v>51</v>
      </c>
      <c r="N253" s="1"/>
      <c r="O253" s="1">
        <f t="shared" si="3"/>
        <v>0</v>
      </c>
      <c r="P253" s="1" t="s">
        <v>448</v>
      </c>
    </row>
    <row r="254" spans="1:16" ht="69.25" customHeight="1">
      <c r="A254" s="1" t="s">
        <v>9</v>
      </c>
      <c r="B254" s="1" t="s">
        <v>22</v>
      </c>
      <c r="C254" s="1">
        <v>2023</v>
      </c>
      <c r="D254" s="1" t="s">
        <v>24</v>
      </c>
      <c r="E254" s="1" t="s">
        <v>78</v>
      </c>
      <c r="F254" s="1" t="s">
        <v>79</v>
      </c>
      <c r="G254" s="1">
        <v>1</v>
      </c>
      <c r="H254" s="1" t="s">
        <v>429</v>
      </c>
      <c r="I254" s="1" t="s">
        <v>943</v>
      </c>
      <c r="J254" s="1" t="s">
        <v>940</v>
      </c>
      <c r="K254" s="1" t="s">
        <v>436</v>
      </c>
      <c r="L254" s="1" t="s">
        <v>131</v>
      </c>
      <c r="M254" s="1" t="s">
        <v>51</v>
      </c>
      <c r="N254" s="1"/>
      <c r="O254" s="1">
        <f t="shared" si="3"/>
        <v>1</v>
      </c>
      <c r="P254" s="1" t="s">
        <v>915</v>
      </c>
    </row>
    <row r="255" spans="1:16" ht="69.25" customHeight="1">
      <c r="A255" s="1" t="s">
        <v>9</v>
      </c>
      <c r="B255" s="1" t="s">
        <v>22</v>
      </c>
      <c r="C255" s="1">
        <v>2023</v>
      </c>
      <c r="D255" s="1" t="s">
        <v>24</v>
      </c>
      <c r="E255" s="1" t="s">
        <v>82</v>
      </c>
      <c r="F255" s="1" t="s">
        <v>83</v>
      </c>
      <c r="G255" s="1">
        <v>0</v>
      </c>
      <c r="H255" s="1" t="s">
        <v>434</v>
      </c>
      <c r="I255" s="1" t="s">
        <v>440</v>
      </c>
      <c r="J255" s="1" t="s">
        <v>940</v>
      </c>
      <c r="K255" s="1"/>
      <c r="L255" s="1" t="s">
        <v>131</v>
      </c>
      <c r="M255" s="1" t="s">
        <v>51</v>
      </c>
      <c r="N255" s="1"/>
      <c r="O255" s="1">
        <f t="shared" si="3"/>
        <v>0</v>
      </c>
      <c r="P255" s="1" t="s">
        <v>441</v>
      </c>
    </row>
    <row r="256" spans="1:16" ht="69.25" customHeight="1">
      <c r="A256" s="1" t="s">
        <v>9</v>
      </c>
      <c r="B256" s="1" t="s">
        <v>22</v>
      </c>
      <c r="C256" s="1">
        <v>2023</v>
      </c>
      <c r="D256" s="1" t="s">
        <v>24</v>
      </c>
      <c r="E256" s="1" t="s">
        <v>86</v>
      </c>
      <c r="F256" s="1" t="s">
        <v>87</v>
      </c>
      <c r="G256" s="1">
        <v>1</v>
      </c>
      <c r="H256" s="1" t="s">
        <v>429</v>
      </c>
      <c r="I256" s="1" t="s">
        <v>944</v>
      </c>
      <c r="J256" s="1" t="s">
        <v>940</v>
      </c>
      <c r="K256" s="1" t="s">
        <v>942</v>
      </c>
      <c r="L256" s="1" t="s">
        <v>131</v>
      </c>
      <c r="M256" s="1" t="s">
        <v>51</v>
      </c>
      <c r="N256" s="1"/>
      <c r="O256" s="1">
        <f t="shared" si="3"/>
        <v>1</v>
      </c>
      <c r="P256" s="1" t="s">
        <v>467</v>
      </c>
    </row>
    <row r="257" spans="1:16" ht="69.25" customHeight="1">
      <c r="A257" s="1" t="s">
        <v>9</v>
      </c>
      <c r="B257" s="1" t="s">
        <v>22</v>
      </c>
      <c r="C257" s="1">
        <v>2023</v>
      </c>
      <c r="D257" s="1" t="s">
        <v>24</v>
      </c>
      <c r="E257" s="1" t="s">
        <v>90</v>
      </c>
      <c r="F257" s="1" t="s">
        <v>91</v>
      </c>
      <c r="G257" s="1">
        <v>1</v>
      </c>
      <c r="H257" s="1" t="s">
        <v>429</v>
      </c>
      <c r="I257" s="1" t="s">
        <v>945</v>
      </c>
      <c r="J257" s="1" t="s">
        <v>940</v>
      </c>
      <c r="K257" s="1" t="s">
        <v>942</v>
      </c>
      <c r="L257" s="1" t="s">
        <v>131</v>
      </c>
      <c r="M257" s="1" t="s">
        <v>51</v>
      </c>
      <c r="N257" s="1"/>
      <c r="O257" s="1">
        <f t="shared" si="3"/>
        <v>1</v>
      </c>
      <c r="P257" s="1" t="s">
        <v>526</v>
      </c>
    </row>
    <row r="258" spans="1:16" ht="69.25" customHeight="1">
      <c r="A258" s="1" t="s">
        <v>9</v>
      </c>
      <c r="B258" s="1" t="s">
        <v>22</v>
      </c>
      <c r="C258" s="1">
        <v>2023</v>
      </c>
      <c r="D258" s="1" t="s">
        <v>24</v>
      </c>
      <c r="E258" s="1" t="s">
        <v>94</v>
      </c>
      <c r="F258" s="1" t="s">
        <v>95</v>
      </c>
      <c r="G258" s="1">
        <v>1</v>
      </c>
      <c r="H258" s="1" t="s">
        <v>429</v>
      </c>
      <c r="I258" s="1" t="s">
        <v>946</v>
      </c>
      <c r="J258" s="1" t="s">
        <v>940</v>
      </c>
      <c r="K258" s="1" t="s">
        <v>947</v>
      </c>
      <c r="L258" s="1" t="s">
        <v>131</v>
      </c>
      <c r="M258" s="1" t="s">
        <v>51</v>
      </c>
      <c r="N258" s="1"/>
      <c r="O258" s="1">
        <f t="shared" ref="O258:O321" si="4">IF(N258&lt;&gt;"",N258,G258)</f>
        <v>1</v>
      </c>
      <c r="P258" s="1" t="s">
        <v>643</v>
      </c>
    </row>
    <row r="259" spans="1:16" ht="69.25" customHeight="1">
      <c r="A259" s="1" t="s">
        <v>9</v>
      </c>
      <c r="B259" s="1" t="s">
        <v>22</v>
      </c>
      <c r="C259" s="1">
        <v>2023</v>
      </c>
      <c r="D259" s="1" t="s">
        <v>24</v>
      </c>
      <c r="E259" s="1" t="s">
        <v>98</v>
      </c>
      <c r="F259" s="1" t="s">
        <v>99</v>
      </c>
      <c r="G259" s="1">
        <v>0</v>
      </c>
      <c r="H259" s="1" t="s">
        <v>445</v>
      </c>
      <c r="I259" s="1" t="s">
        <v>948</v>
      </c>
      <c r="J259" s="1" t="s">
        <v>940</v>
      </c>
      <c r="K259" s="1" t="s">
        <v>546</v>
      </c>
      <c r="L259" s="1" t="s">
        <v>131</v>
      </c>
      <c r="M259" s="1" t="s">
        <v>51</v>
      </c>
      <c r="N259" s="1"/>
      <c r="O259" s="1">
        <f t="shared" si="4"/>
        <v>0</v>
      </c>
      <c r="P259" s="1" t="s">
        <v>448</v>
      </c>
    </row>
    <row r="260" spans="1:16" ht="69.25" customHeight="1">
      <c r="A260" s="1" t="s">
        <v>9</v>
      </c>
      <c r="B260" s="1" t="s">
        <v>22</v>
      </c>
      <c r="C260" s="1">
        <v>2023</v>
      </c>
      <c r="D260" s="1" t="s">
        <v>24</v>
      </c>
      <c r="E260" s="1" t="s">
        <v>102</v>
      </c>
      <c r="F260" s="1" t="s">
        <v>103</v>
      </c>
      <c r="G260" s="1">
        <v>1</v>
      </c>
      <c r="H260" s="1" t="s">
        <v>429</v>
      </c>
      <c r="I260" s="1" t="s">
        <v>949</v>
      </c>
      <c r="J260" s="1" t="s">
        <v>940</v>
      </c>
      <c r="K260" s="1" t="s">
        <v>942</v>
      </c>
      <c r="L260" s="1" t="s">
        <v>131</v>
      </c>
      <c r="M260" s="1" t="s">
        <v>51</v>
      </c>
      <c r="N260" s="1"/>
      <c r="O260" s="1">
        <f t="shared" si="4"/>
        <v>1</v>
      </c>
      <c r="P260" s="1" t="s">
        <v>475</v>
      </c>
    </row>
    <row r="261" spans="1:16" ht="69.25" customHeight="1">
      <c r="A261" s="1" t="s">
        <v>9</v>
      </c>
      <c r="B261" s="1" t="s">
        <v>22</v>
      </c>
      <c r="C261" s="1">
        <v>2023</v>
      </c>
      <c r="D261" s="1" t="s">
        <v>24</v>
      </c>
      <c r="E261" s="1" t="s">
        <v>106</v>
      </c>
      <c r="F261" s="1" t="s">
        <v>107</v>
      </c>
      <c r="G261" s="1">
        <v>0</v>
      </c>
      <c r="H261" s="1" t="s">
        <v>434</v>
      </c>
      <c r="I261" s="1" t="s">
        <v>950</v>
      </c>
      <c r="J261" s="1" t="s">
        <v>940</v>
      </c>
      <c r="K261" s="1" t="s">
        <v>436</v>
      </c>
      <c r="L261" s="1" t="s">
        <v>131</v>
      </c>
      <c r="M261" s="1" t="s">
        <v>51</v>
      </c>
      <c r="N261" s="1"/>
      <c r="O261" s="1">
        <f t="shared" si="4"/>
        <v>0</v>
      </c>
      <c r="P261" s="1" t="s">
        <v>454</v>
      </c>
    </row>
    <row r="262" spans="1:16" ht="69.25" customHeight="1">
      <c r="A262" s="1" t="s">
        <v>9</v>
      </c>
      <c r="B262" s="1" t="s">
        <v>22</v>
      </c>
      <c r="C262" s="1">
        <v>2024</v>
      </c>
      <c r="D262" s="1" t="s">
        <v>24</v>
      </c>
      <c r="E262" s="1" t="s">
        <v>70</v>
      </c>
      <c r="F262" s="1" t="s">
        <v>71</v>
      </c>
      <c r="G262" s="1">
        <v>1</v>
      </c>
      <c r="H262" s="1" t="s">
        <v>478</v>
      </c>
      <c r="I262" s="1" t="s">
        <v>951</v>
      </c>
      <c r="J262" s="1" t="s">
        <v>952</v>
      </c>
      <c r="K262" s="1" t="s">
        <v>653</v>
      </c>
      <c r="L262" s="1" t="s">
        <v>953</v>
      </c>
      <c r="M262" s="1" t="s">
        <v>51</v>
      </c>
      <c r="N262" s="1"/>
      <c r="O262" s="1">
        <f t="shared" si="4"/>
        <v>1</v>
      </c>
      <c r="P262" s="1" t="s">
        <v>570</v>
      </c>
    </row>
    <row r="263" spans="1:16" ht="69.25" customHeight="1">
      <c r="A263" s="1" t="s">
        <v>9</v>
      </c>
      <c r="B263" s="1" t="s">
        <v>22</v>
      </c>
      <c r="C263" s="1">
        <v>2024</v>
      </c>
      <c r="D263" s="1" t="s">
        <v>24</v>
      </c>
      <c r="E263" s="1" t="s">
        <v>74</v>
      </c>
      <c r="F263" s="1" t="s">
        <v>75</v>
      </c>
      <c r="G263" s="1">
        <v>1</v>
      </c>
      <c r="H263" s="1" t="s">
        <v>478</v>
      </c>
      <c r="I263" s="1" t="s">
        <v>954</v>
      </c>
      <c r="J263" s="1" t="s">
        <v>952</v>
      </c>
      <c r="K263" s="1" t="s">
        <v>653</v>
      </c>
      <c r="L263" s="1" t="s">
        <v>953</v>
      </c>
      <c r="M263" s="1" t="s">
        <v>51</v>
      </c>
      <c r="N263" s="1"/>
      <c r="O263" s="1">
        <f t="shared" si="4"/>
        <v>1</v>
      </c>
      <c r="P263" s="1" t="s">
        <v>955</v>
      </c>
    </row>
    <row r="264" spans="1:16" ht="69.25" customHeight="1">
      <c r="A264" s="1" t="s">
        <v>9</v>
      </c>
      <c r="B264" s="1" t="s">
        <v>22</v>
      </c>
      <c r="C264" s="1">
        <v>2024</v>
      </c>
      <c r="D264" s="1" t="s">
        <v>24</v>
      </c>
      <c r="E264" s="1" t="s">
        <v>78</v>
      </c>
      <c r="F264" s="1" t="s">
        <v>79</v>
      </c>
      <c r="G264" s="1">
        <v>1</v>
      </c>
      <c r="H264" s="1" t="s">
        <v>478</v>
      </c>
      <c r="I264" s="1" t="s">
        <v>956</v>
      </c>
      <c r="J264" s="1" t="s">
        <v>952</v>
      </c>
      <c r="K264" s="1" t="s">
        <v>957</v>
      </c>
      <c r="L264" s="1" t="s">
        <v>953</v>
      </c>
      <c r="M264" s="1" t="s">
        <v>51</v>
      </c>
      <c r="N264" s="1"/>
      <c r="O264" s="1">
        <f t="shared" si="4"/>
        <v>1</v>
      </c>
      <c r="P264" s="1" t="s">
        <v>958</v>
      </c>
    </row>
    <row r="265" spans="1:16" ht="69.25" customHeight="1">
      <c r="A265" s="1" t="s">
        <v>9</v>
      </c>
      <c r="B265" s="1" t="s">
        <v>22</v>
      </c>
      <c r="C265" s="1">
        <v>2024</v>
      </c>
      <c r="D265" s="1" t="s">
        <v>24</v>
      </c>
      <c r="E265" s="1" t="s">
        <v>82</v>
      </c>
      <c r="F265" s="1" t="s">
        <v>83</v>
      </c>
      <c r="G265" s="1">
        <v>1</v>
      </c>
      <c r="H265" s="1" t="s">
        <v>478</v>
      </c>
      <c r="I265" s="1" t="s">
        <v>959</v>
      </c>
      <c r="J265" s="1" t="s">
        <v>952</v>
      </c>
      <c r="K265" s="1" t="s">
        <v>960</v>
      </c>
      <c r="L265" s="1" t="s">
        <v>953</v>
      </c>
      <c r="M265" s="1" t="s">
        <v>51</v>
      </c>
      <c r="N265" s="1"/>
      <c r="O265" s="1">
        <f t="shared" si="4"/>
        <v>1</v>
      </c>
      <c r="P265" s="1" t="s">
        <v>961</v>
      </c>
    </row>
    <row r="266" spans="1:16" ht="69.25" customHeight="1">
      <c r="A266" s="1" t="s">
        <v>9</v>
      </c>
      <c r="B266" s="1" t="s">
        <v>22</v>
      </c>
      <c r="C266" s="1">
        <v>2024</v>
      </c>
      <c r="D266" s="1" t="s">
        <v>24</v>
      </c>
      <c r="E266" s="1" t="s">
        <v>86</v>
      </c>
      <c r="F266" s="1" t="s">
        <v>87</v>
      </c>
      <c r="G266" s="1">
        <v>1</v>
      </c>
      <c r="H266" s="1" t="s">
        <v>478</v>
      </c>
      <c r="I266" s="1" t="s">
        <v>962</v>
      </c>
      <c r="J266" s="1" t="s">
        <v>952</v>
      </c>
      <c r="K266" s="1" t="s">
        <v>960</v>
      </c>
      <c r="L266" s="1" t="s">
        <v>953</v>
      </c>
      <c r="M266" s="1" t="s">
        <v>51</v>
      </c>
      <c r="N266" s="1"/>
      <c r="O266" s="1">
        <f t="shared" si="4"/>
        <v>1</v>
      </c>
      <c r="P266" s="1" t="s">
        <v>963</v>
      </c>
    </row>
    <row r="267" spans="1:16" ht="69.25" customHeight="1">
      <c r="A267" s="1" t="s">
        <v>9</v>
      </c>
      <c r="B267" s="1" t="s">
        <v>22</v>
      </c>
      <c r="C267" s="1">
        <v>2024</v>
      </c>
      <c r="D267" s="1" t="s">
        <v>24</v>
      </c>
      <c r="E267" s="1" t="s">
        <v>90</v>
      </c>
      <c r="F267" s="1" t="s">
        <v>91</v>
      </c>
      <c r="G267" s="1">
        <v>1</v>
      </c>
      <c r="H267" s="1" t="s">
        <v>478</v>
      </c>
      <c r="I267" s="1" t="s">
        <v>964</v>
      </c>
      <c r="J267" s="1" t="s">
        <v>952</v>
      </c>
      <c r="K267" s="1" t="s">
        <v>829</v>
      </c>
      <c r="L267" s="1" t="s">
        <v>953</v>
      </c>
      <c r="M267" s="1" t="s">
        <v>51</v>
      </c>
      <c r="N267" s="1"/>
      <c r="O267" s="1">
        <f t="shared" si="4"/>
        <v>1</v>
      </c>
      <c r="P267" s="1" t="s">
        <v>965</v>
      </c>
    </row>
    <row r="268" spans="1:16" ht="69.25" customHeight="1">
      <c r="A268" s="1" t="s">
        <v>9</v>
      </c>
      <c r="B268" s="1" t="s">
        <v>22</v>
      </c>
      <c r="C268" s="1">
        <v>2024</v>
      </c>
      <c r="D268" s="1" t="s">
        <v>24</v>
      </c>
      <c r="E268" s="1" t="s">
        <v>94</v>
      </c>
      <c r="F268" s="1" t="s">
        <v>95</v>
      </c>
      <c r="G268" s="1">
        <v>1</v>
      </c>
      <c r="H268" s="1" t="s">
        <v>478</v>
      </c>
      <c r="I268" s="1" t="s">
        <v>966</v>
      </c>
      <c r="J268" s="1" t="s">
        <v>952</v>
      </c>
      <c r="K268" s="1" t="s">
        <v>967</v>
      </c>
      <c r="L268" s="1" t="s">
        <v>953</v>
      </c>
      <c r="M268" s="1" t="s">
        <v>51</v>
      </c>
      <c r="N268" s="1"/>
      <c r="O268" s="1">
        <f t="shared" si="4"/>
        <v>1</v>
      </c>
      <c r="P268" s="1" t="s">
        <v>968</v>
      </c>
    </row>
    <row r="269" spans="1:16" ht="69.25" customHeight="1">
      <c r="A269" s="1" t="s">
        <v>9</v>
      </c>
      <c r="B269" s="1" t="s">
        <v>22</v>
      </c>
      <c r="C269" s="1">
        <v>2024</v>
      </c>
      <c r="D269" s="1" t="s">
        <v>24</v>
      </c>
      <c r="E269" s="1" t="s">
        <v>98</v>
      </c>
      <c r="F269" s="1" t="s">
        <v>99</v>
      </c>
      <c r="G269" s="1">
        <v>1</v>
      </c>
      <c r="H269" s="1" t="s">
        <v>478</v>
      </c>
      <c r="I269" s="1" t="s">
        <v>969</v>
      </c>
      <c r="J269" s="1" t="s">
        <v>952</v>
      </c>
      <c r="K269" s="1" t="s">
        <v>970</v>
      </c>
      <c r="L269" s="1" t="s">
        <v>953</v>
      </c>
      <c r="M269" s="1" t="s">
        <v>51</v>
      </c>
      <c r="N269" s="1"/>
      <c r="O269" s="1">
        <f t="shared" si="4"/>
        <v>1</v>
      </c>
      <c r="P269" s="1" t="s">
        <v>971</v>
      </c>
    </row>
    <row r="270" spans="1:16" ht="69.25" customHeight="1">
      <c r="A270" s="1" t="s">
        <v>9</v>
      </c>
      <c r="B270" s="1" t="s">
        <v>22</v>
      </c>
      <c r="C270" s="1">
        <v>2024</v>
      </c>
      <c r="D270" s="1" t="s">
        <v>24</v>
      </c>
      <c r="E270" s="1" t="s">
        <v>102</v>
      </c>
      <c r="F270" s="1" t="s">
        <v>103</v>
      </c>
      <c r="G270" s="1">
        <v>1</v>
      </c>
      <c r="H270" s="1" t="s">
        <v>478</v>
      </c>
      <c r="I270" s="1" t="s">
        <v>972</v>
      </c>
      <c r="J270" s="1" t="s">
        <v>952</v>
      </c>
      <c r="K270" s="1" t="s">
        <v>829</v>
      </c>
      <c r="L270" s="1" t="s">
        <v>953</v>
      </c>
      <c r="M270" s="1" t="s">
        <v>51</v>
      </c>
      <c r="N270" s="1"/>
      <c r="O270" s="1">
        <f t="shared" si="4"/>
        <v>1</v>
      </c>
      <c r="P270" s="1" t="s">
        <v>973</v>
      </c>
    </row>
    <row r="271" spans="1:16" ht="69.25" customHeight="1">
      <c r="A271" s="1" t="s">
        <v>9</v>
      </c>
      <c r="B271" s="1" t="s">
        <v>22</v>
      </c>
      <c r="C271" s="1">
        <v>2024</v>
      </c>
      <c r="D271" s="1" t="s">
        <v>24</v>
      </c>
      <c r="E271" s="1" t="s">
        <v>106</v>
      </c>
      <c r="F271" s="1" t="s">
        <v>107</v>
      </c>
      <c r="G271" s="1">
        <v>1</v>
      </c>
      <c r="H271" s="1" t="s">
        <v>974</v>
      </c>
      <c r="I271" s="1" t="s">
        <v>975</v>
      </c>
      <c r="J271" s="1" t="s">
        <v>976</v>
      </c>
      <c r="K271" s="1" t="s">
        <v>837</v>
      </c>
      <c r="L271" s="1" t="s">
        <v>977</v>
      </c>
      <c r="M271" s="1" t="s">
        <v>51</v>
      </c>
      <c r="N271" s="1"/>
      <c r="O271" s="1">
        <f t="shared" si="4"/>
        <v>1</v>
      </c>
      <c r="P271" s="1" t="s">
        <v>978</v>
      </c>
    </row>
    <row r="272" spans="1:16" ht="69.25" customHeight="1">
      <c r="A272" s="1" t="s">
        <v>9</v>
      </c>
      <c r="B272" s="1" t="s">
        <v>22</v>
      </c>
      <c r="C272" s="1">
        <v>2025</v>
      </c>
      <c r="D272" s="1" t="s">
        <v>24</v>
      </c>
      <c r="E272" s="1" t="s">
        <v>70</v>
      </c>
      <c r="F272" s="1" t="s">
        <v>71</v>
      </c>
      <c r="G272" s="1">
        <v>1</v>
      </c>
      <c r="H272" s="1" t="s">
        <v>429</v>
      </c>
      <c r="I272" s="1" t="s">
        <v>979</v>
      </c>
      <c r="J272" s="1" t="s">
        <v>980</v>
      </c>
      <c r="K272" s="1" t="s">
        <v>699</v>
      </c>
      <c r="L272" s="1" t="s">
        <v>131</v>
      </c>
      <c r="M272" s="1" t="s">
        <v>51</v>
      </c>
      <c r="N272" s="1"/>
      <c r="O272" s="1">
        <f t="shared" si="4"/>
        <v>1</v>
      </c>
      <c r="P272" s="1" t="s">
        <v>433</v>
      </c>
    </row>
    <row r="273" spans="1:16" ht="69.25" customHeight="1">
      <c r="A273" s="1" t="s">
        <v>9</v>
      </c>
      <c r="B273" s="1" t="s">
        <v>22</v>
      </c>
      <c r="C273" s="1">
        <v>2025</v>
      </c>
      <c r="D273" s="1" t="s">
        <v>24</v>
      </c>
      <c r="E273" s="1" t="s">
        <v>74</v>
      </c>
      <c r="F273" s="1" t="s">
        <v>75</v>
      </c>
      <c r="G273" s="1">
        <v>0</v>
      </c>
      <c r="H273" s="1" t="s">
        <v>434</v>
      </c>
      <c r="I273" s="1" t="s">
        <v>981</v>
      </c>
      <c r="J273" s="1" t="s">
        <v>980</v>
      </c>
      <c r="K273" s="1" t="s">
        <v>982</v>
      </c>
      <c r="L273" s="1" t="s">
        <v>131</v>
      </c>
      <c r="M273" s="1" t="s">
        <v>51</v>
      </c>
      <c r="N273" s="1"/>
      <c r="O273" s="1">
        <f t="shared" si="4"/>
        <v>0</v>
      </c>
      <c r="P273" s="1" t="s">
        <v>437</v>
      </c>
    </row>
    <row r="274" spans="1:16" ht="69.25" customHeight="1">
      <c r="A274" s="1" t="s">
        <v>9</v>
      </c>
      <c r="B274" s="1" t="s">
        <v>22</v>
      </c>
      <c r="C274" s="1">
        <v>2025</v>
      </c>
      <c r="D274" s="1" t="s">
        <v>24</v>
      </c>
      <c r="E274" s="1" t="s">
        <v>78</v>
      </c>
      <c r="F274" s="1" t="s">
        <v>79</v>
      </c>
      <c r="G274" s="1">
        <v>1</v>
      </c>
      <c r="H274" s="1" t="s">
        <v>429</v>
      </c>
      <c r="I274" s="1" t="s">
        <v>983</v>
      </c>
      <c r="J274" s="1" t="s">
        <v>980</v>
      </c>
      <c r="K274" s="1" t="s">
        <v>984</v>
      </c>
      <c r="L274" s="1" t="s">
        <v>131</v>
      </c>
      <c r="M274" s="1" t="s">
        <v>51</v>
      </c>
      <c r="N274" s="1"/>
      <c r="O274" s="1">
        <f t="shared" si="4"/>
        <v>1</v>
      </c>
      <c r="P274" s="1" t="s">
        <v>915</v>
      </c>
    </row>
    <row r="275" spans="1:16" ht="69.25" customHeight="1">
      <c r="A275" s="1" t="s">
        <v>9</v>
      </c>
      <c r="B275" s="1" t="s">
        <v>22</v>
      </c>
      <c r="C275" s="1">
        <v>2025</v>
      </c>
      <c r="D275" s="1" t="s">
        <v>24</v>
      </c>
      <c r="E275" s="1" t="s">
        <v>82</v>
      </c>
      <c r="F275" s="1" t="s">
        <v>83</v>
      </c>
      <c r="G275" s="1">
        <v>1</v>
      </c>
      <c r="H275" s="1" t="s">
        <v>429</v>
      </c>
      <c r="I275" s="1" t="s">
        <v>985</v>
      </c>
      <c r="J275" s="1" t="s">
        <v>980</v>
      </c>
      <c r="K275" s="1" t="s">
        <v>982</v>
      </c>
      <c r="L275" s="1" t="s">
        <v>131</v>
      </c>
      <c r="M275" s="1" t="s">
        <v>51</v>
      </c>
      <c r="N275" s="1"/>
      <c r="O275" s="1">
        <f t="shared" si="4"/>
        <v>1</v>
      </c>
      <c r="P275" s="1" t="s">
        <v>465</v>
      </c>
    </row>
    <row r="276" spans="1:16" ht="69.25" customHeight="1">
      <c r="A276" s="1" t="s">
        <v>9</v>
      </c>
      <c r="B276" s="1" t="s">
        <v>22</v>
      </c>
      <c r="C276" s="1">
        <v>2025</v>
      </c>
      <c r="D276" s="1" t="s">
        <v>24</v>
      </c>
      <c r="E276" s="1" t="s">
        <v>86</v>
      </c>
      <c r="F276" s="1" t="s">
        <v>87</v>
      </c>
      <c r="G276" s="1">
        <v>1</v>
      </c>
      <c r="H276" s="1" t="s">
        <v>429</v>
      </c>
      <c r="I276" s="1" t="s">
        <v>986</v>
      </c>
      <c r="J276" s="1" t="s">
        <v>980</v>
      </c>
      <c r="K276" s="1" t="s">
        <v>987</v>
      </c>
      <c r="L276" s="1" t="s">
        <v>131</v>
      </c>
      <c r="M276" s="1" t="s">
        <v>51</v>
      </c>
      <c r="N276" s="1"/>
      <c r="O276" s="1">
        <f t="shared" si="4"/>
        <v>1</v>
      </c>
      <c r="P276" s="1" t="s">
        <v>467</v>
      </c>
    </row>
    <row r="277" spans="1:16" ht="69.25" customHeight="1">
      <c r="A277" s="1" t="s">
        <v>9</v>
      </c>
      <c r="B277" s="1" t="s">
        <v>22</v>
      </c>
      <c r="C277" s="1">
        <v>2025</v>
      </c>
      <c r="D277" s="1" t="s">
        <v>24</v>
      </c>
      <c r="E277" s="1" t="s">
        <v>90</v>
      </c>
      <c r="F277" s="1" t="s">
        <v>91</v>
      </c>
      <c r="G277" s="1">
        <v>1</v>
      </c>
      <c r="H277" s="1" t="s">
        <v>429</v>
      </c>
      <c r="I277" s="1" t="s">
        <v>988</v>
      </c>
      <c r="J277" s="1" t="s">
        <v>980</v>
      </c>
      <c r="K277" s="1" t="s">
        <v>774</v>
      </c>
      <c r="L277" s="1" t="s">
        <v>131</v>
      </c>
      <c r="M277" s="1" t="s">
        <v>51</v>
      </c>
      <c r="N277" s="1"/>
      <c r="O277" s="1">
        <f t="shared" si="4"/>
        <v>1</v>
      </c>
      <c r="P277" s="1" t="s">
        <v>526</v>
      </c>
    </row>
    <row r="278" spans="1:16" ht="69.25" customHeight="1">
      <c r="A278" s="1" t="s">
        <v>9</v>
      </c>
      <c r="B278" s="1" t="s">
        <v>22</v>
      </c>
      <c r="C278" s="1">
        <v>2025</v>
      </c>
      <c r="D278" s="1" t="s">
        <v>24</v>
      </c>
      <c r="E278" s="1" t="s">
        <v>94</v>
      </c>
      <c r="F278" s="1" t="s">
        <v>95</v>
      </c>
      <c r="G278" s="1">
        <v>0</v>
      </c>
      <c r="H278" s="1" t="s">
        <v>445</v>
      </c>
      <c r="I278" s="1" t="s">
        <v>989</v>
      </c>
      <c r="J278" s="1" t="s">
        <v>980</v>
      </c>
      <c r="K278" s="1" t="s">
        <v>990</v>
      </c>
      <c r="L278" s="1" t="s">
        <v>131</v>
      </c>
      <c r="M278" s="1" t="s">
        <v>51</v>
      </c>
      <c r="N278" s="1"/>
      <c r="O278" s="1">
        <f t="shared" si="4"/>
        <v>0</v>
      </c>
      <c r="P278" s="1" t="s">
        <v>448</v>
      </c>
    </row>
    <row r="279" spans="1:16" ht="69.25" customHeight="1">
      <c r="A279" s="1" t="s">
        <v>9</v>
      </c>
      <c r="B279" s="1" t="s">
        <v>22</v>
      </c>
      <c r="C279" s="1">
        <v>2025</v>
      </c>
      <c r="D279" s="1" t="s">
        <v>24</v>
      </c>
      <c r="E279" s="1" t="s">
        <v>98</v>
      </c>
      <c r="F279" s="1" t="s">
        <v>99</v>
      </c>
      <c r="G279" s="1">
        <v>1</v>
      </c>
      <c r="H279" s="1" t="s">
        <v>429</v>
      </c>
      <c r="I279" s="1" t="s">
        <v>991</v>
      </c>
      <c r="J279" s="1" t="s">
        <v>980</v>
      </c>
      <c r="K279" s="1" t="s">
        <v>436</v>
      </c>
      <c r="L279" s="1" t="s">
        <v>131</v>
      </c>
      <c r="M279" s="1" t="s">
        <v>51</v>
      </c>
      <c r="N279" s="1"/>
      <c r="O279" s="1">
        <f t="shared" si="4"/>
        <v>1</v>
      </c>
      <c r="P279" s="1" t="s">
        <v>451</v>
      </c>
    </row>
    <row r="280" spans="1:16" ht="69.25" customHeight="1">
      <c r="A280" s="1" t="s">
        <v>9</v>
      </c>
      <c r="B280" s="1" t="s">
        <v>22</v>
      </c>
      <c r="C280" s="1">
        <v>2025</v>
      </c>
      <c r="D280" s="1" t="s">
        <v>24</v>
      </c>
      <c r="E280" s="1" t="s">
        <v>102</v>
      </c>
      <c r="F280" s="1" t="s">
        <v>103</v>
      </c>
      <c r="G280" s="1">
        <v>1</v>
      </c>
      <c r="H280" s="1" t="s">
        <v>429</v>
      </c>
      <c r="I280" s="1" t="s">
        <v>992</v>
      </c>
      <c r="J280" s="1" t="s">
        <v>980</v>
      </c>
      <c r="K280" s="1" t="s">
        <v>993</v>
      </c>
      <c r="L280" s="1" t="s">
        <v>131</v>
      </c>
      <c r="M280" s="1" t="s">
        <v>51</v>
      </c>
      <c r="N280" s="1"/>
      <c r="O280" s="1">
        <f t="shared" si="4"/>
        <v>1</v>
      </c>
      <c r="P280" s="1" t="s">
        <v>475</v>
      </c>
    </row>
    <row r="281" spans="1:16" ht="69.25" customHeight="1">
      <c r="A281" s="1" t="s">
        <v>9</v>
      </c>
      <c r="B281" s="1" t="s">
        <v>22</v>
      </c>
      <c r="C281" s="1">
        <v>2025</v>
      </c>
      <c r="D281" s="1" t="s">
        <v>24</v>
      </c>
      <c r="E281" s="1" t="s">
        <v>106</v>
      </c>
      <c r="F281" s="1" t="s">
        <v>107</v>
      </c>
      <c r="G281" s="1">
        <v>0</v>
      </c>
      <c r="H281" s="1" t="s">
        <v>434</v>
      </c>
      <c r="I281" s="1" t="s">
        <v>994</v>
      </c>
      <c r="J281" s="1" t="s">
        <v>980</v>
      </c>
      <c r="K281" s="1" t="s">
        <v>631</v>
      </c>
      <c r="L281" s="1" t="s">
        <v>131</v>
      </c>
      <c r="M281" s="1" t="s">
        <v>51</v>
      </c>
      <c r="N281" s="1"/>
      <c r="O281" s="1">
        <f t="shared" si="4"/>
        <v>0</v>
      </c>
      <c r="P281" s="1" t="s">
        <v>454</v>
      </c>
    </row>
    <row r="282" spans="1:16" ht="69.25" customHeight="1">
      <c r="A282" s="1" t="s">
        <v>9</v>
      </c>
      <c r="B282" s="1" t="s">
        <v>25</v>
      </c>
      <c r="C282" s="1">
        <v>2022</v>
      </c>
      <c r="D282" s="1" t="s">
        <v>27</v>
      </c>
      <c r="E282" s="1" t="s">
        <v>70</v>
      </c>
      <c r="F282" s="1" t="s">
        <v>71</v>
      </c>
      <c r="G282" s="1">
        <v>0</v>
      </c>
      <c r="H282" s="1" t="s">
        <v>445</v>
      </c>
      <c r="I282" s="1" t="s">
        <v>995</v>
      </c>
      <c r="J282" s="1" t="s">
        <v>996</v>
      </c>
      <c r="K282" s="1" t="s">
        <v>947</v>
      </c>
      <c r="L282" s="1" t="s">
        <v>133</v>
      </c>
      <c r="M282" s="1" t="s">
        <v>51</v>
      </c>
      <c r="N282" s="1"/>
      <c r="O282" s="1">
        <f t="shared" si="4"/>
        <v>0</v>
      </c>
      <c r="P282" s="1" t="s">
        <v>448</v>
      </c>
    </row>
    <row r="283" spans="1:16" ht="69.25" customHeight="1">
      <c r="A283" s="1" t="s">
        <v>9</v>
      </c>
      <c r="B283" s="1" t="s">
        <v>25</v>
      </c>
      <c r="C283" s="1">
        <v>2022</v>
      </c>
      <c r="D283" s="1" t="s">
        <v>27</v>
      </c>
      <c r="E283" s="1" t="s">
        <v>74</v>
      </c>
      <c r="F283" s="1" t="s">
        <v>75</v>
      </c>
      <c r="G283" s="1">
        <v>0</v>
      </c>
      <c r="H283" s="1" t="s">
        <v>434</v>
      </c>
      <c r="I283" s="1" t="s">
        <v>997</v>
      </c>
      <c r="J283" s="1" t="s">
        <v>998</v>
      </c>
      <c r="K283" s="1" t="s">
        <v>942</v>
      </c>
      <c r="L283" s="1" t="s">
        <v>133</v>
      </c>
      <c r="M283" s="1" t="s">
        <v>51</v>
      </c>
      <c r="N283" s="1"/>
      <c r="O283" s="1">
        <f t="shared" si="4"/>
        <v>0</v>
      </c>
      <c r="P283" s="1" t="s">
        <v>437</v>
      </c>
    </row>
    <row r="284" spans="1:16" ht="69.25" customHeight="1">
      <c r="A284" s="1" t="s">
        <v>9</v>
      </c>
      <c r="B284" s="1" t="s">
        <v>25</v>
      </c>
      <c r="C284" s="1">
        <v>2022</v>
      </c>
      <c r="D284" s="1" t="s">
        <v>27</v>
      </c>
      <c r="E284" s="1" t="s">
        <v>78</v>
      </c>
      <c r="F284" s="1" t="s">
        <v>79</v>
      </c>
      <c r="G284" s="1">
        <v>0</v>
      </c>
      <c r="H284" s="1" t="s">
        <v>434</v>
      </c>
      <c r="I284" s="1" t="s">
        <v>999</v>
      </c>
      <c r="J284" s="1" t="s">
        <v>998</v>
      </c>
      <c r="K284" s="1" t="s">
        <v>1000</v>
      </c>
      <c r="L284" s="1" t="s">
        <v>133</v>
      </c>
      <c r="M284" s="1" t="s">
        <v>51</v>
      </c>
      <c r="N284" s="1"/>
      <c r="O284" s="1">
        <f t="shared" si="4"/>
        <v>0</v>
      </c>
      <c r="P284" s="1" t="s">
        <v>439</v>
      </c>
    </row>
    <row r="285" spans="1:16" ht="69.25" customHeight="1">
      <c r="A285" s="1" t="s">
        <v>9</v>
      </c>
      <c r="B285" s="1" t="s">
        <v>25</v>
      </c>
      <c r="C285" s="1">
        <v>2022</v>
      </c>
      <c r="D285" s="1" t="s">
        <v>27</v>
      </c>
      <c r="E285" s="1" t="s">
        <v>82</v>
      </c>
      <c r="F285" s="1" t="s">
        <v>83</v>
      </c>
      <c r="G285" s="1">
        <v>1</v>
      </c>
      <c r="H285" s="1" t="s">
        <v>429</v>
      </c>
      <c r="I285" s="1" t="s">
        <v>1001</v>
      </c>
      <c r="J285" s="1" t="s">
        <v>996</v>
      </c>
      <c r="K285" s="1" t="s">
        <v>1002</v>
      </c>
      <c r="L285" s="1" t="s">
        <v>133</v>
      </c>
      <c r="M285" s="1" t="s">
        <v>51</v>
      </c>
      <c r="N285" s="1"/>
      <c r="O285" s="1">
        <f t="shared" si="4"/>
        <v>1</v>
      </c>
      <c r="P285" s="1" t="s">
        <v>465</v>
      </c>
    </row>
    <row r="286" spans="1:16" ht="69.25" customHeight="1">
      <c r="A286" s="1" t="s">
        <v>9</v>
      </c>
      <c r="B286" s="1" t="s">
        <v>25</v>
      </c>
      <c r="C286" s="1">
        <v>2022</v>
      </c>
      <c r="D286" s="1" t="s">
        <v>27</v>
      </c>
      <c r="E286" s="1" t="s">
        <v>86</v>
      </c>
      <c r="F286" s="1" t="s">
        <v>87</v>
      </c>
      <c r="G286" s="1">
        <v>1</v>
      </c>
      <c r="H286" s="1" t="s">
        <v>429</v>
      </c>
      <c r="I286" s="1" t="s">
        <v>1003</v>
      </c>
      <c r="J286" s="1" t="s">
        <v>996</v>
      </c>
      <c r="K286" s="1" t="s">
        <v>1002</v>
      </c>
      <c r="L286" s="1" t="s">
        <v>133</v>
      </c>
      <c r="M286" s="1" t="s">
        <v>51</v>
      </c>
      <c r="N286" s="1"/>
      <c r="O286" s="1">
        <f t="shared" si="4"/>
        <v>1</v>
      </c>
      <c r="P286" s="1" t="s">
        <v>467</v>
      </c>
    </row>
    <row r="287" spans="1:16" ht="69.25" customHeight="1">
      <c r="A287" s="1" t="s">
        <v>9</v>
      </c>
      <c r="B287" s="1" t="s">
        <v>25</v>
      </c>
      <c r="C287" s="1">
        <v>2022</v>
      </c>
      <c r="D287" s="1" t="s">
        <v>27</v>
      </c>
      <c r="E287" s="1" t="s">
        <v>90</v>
      </c>
      <c r="F287" s="1" t="s">
        <v>91</v>
      </c>
      <c r="G287" s="1">
        <v>1</v>
      </c>
      <c r="H287" s="1" t="s">
        <v>429</v>
      </c>
      <c r="I287" s="1" t="s">
        <v>1004</v>
      </c>
      <c r="J287" s="1" t="s">
        <v>996</v>
      </c>
      <c r="K287" s="1" t="s">
        <v>794</v>
      </c>
      <c r="L287" s="1" t="s">
        <v>133</v>
      </c>
      <c r="M287" s="1" t="s">
        <v>51</v>
      </c>
      <c r="N287" s="1"/>
      <c r="O287" s="1">
        <f t="shared" si="4"/>
        <v>1</v>
      </c>
      <c r="P287" s="1" t="s">
        <v>526</v>
      </c>
    </row>
    <row r="288" spans="1:16" ht="69.25" customHeight="1">
      <c r="A288" s="1" t="s">
        <v>9</v>
      </c>
      <c r="B288" s="1" t="s">
        <v>25</v>
      </c>
      <c r="C288" s="1">
        <v>2022</v>
      </c>
      <c r="D288" s="1" t="s">
        <v>27</v>
      </c>
      <c r="E288" s="1" t="s">
        <v>94</v>
      </c>
      <c r="F288" s="1" t="s">
        <v>95</v>
      </c>
      <c r="G288" s="1">
        <v>0</v>
      </c>
      <c r="H288" s="1" t="s">
        <v>434</v>
      </c>
      <c r="I288" s="1" t="s">
        <v>1005</v>
      </c>
      <c r="J288" s="1" t="s">
        <v>996</v>
      </c>
      <c r="K288" s="1" t="s">
        <v>1006</v>
      </c>
      <c r="L288" s="1" t="s">
        <v>133</v>
      </c>
      <c r="M288" s="1" t="s">
        <v>51</v>
      </c>
      <c r="N288" s="1"/>
      <c r="O288" s="1">
        <f t="shared" si="4"/>
        <v>0</v>
      </c>
      <c r="P288" s="1" t="s">
        <v>795</v>
      </c>
    </row>
    <row r="289" spans="1:16" ht="69.25" customHeight="1">
      <c r="A289" s="1" t="s">
        <v>9</v>
      </c>
      <c r="B289" s="1" t="s">
        <v>25</v>
      </c>
      <c r="C289" s="1">
        <v>2022</v>
      </c>
      <c r="D289" s="1" t="s">
        <v>27</v>
      </c>
      <c r="E289" s="1" t="s">
        <v>98</v>
      </c>
      <c r="F289" s="1" t="s">
        <v>99</v>
      </c>
      <c r="G289" s="1">
        <v>0</v>
      </c>
      <c r="H289" s="1" t="s">
        <v>445</v>
      </c>
      <c r="I289" s="1" t="s">
        <v>1007</v>
      </c>
      <c r="J289" s="1" t="s">
        <v>998</v>
      </c>
      <c r="K289" s="1" t="s">
        <v>1008</v>
      </c>
      <c r="L289" s="1" t="s">
        <v>133</v>
      </c>
      <c r="M289" s="1" t="s">
        <v>51</v>
      </c>
      <c r="N289" s="1"/>
      <c r="O289" s="1">
        <f t="shared" si="4"/>
        <v>0</v>
      </c>
      <c r="P289" s="1" t="s">
        <v>448</v>
      </c>
    </row>
    <row r="290" spans="1:16" ht="69.25" customHeight="1">
      <c r="A290" s="1" t="s">
        <v>9</v>
      </c>
      <c r="B290" s="1" t="s">
        <v>25</v>
      </c>
      <c r="C290" s="1">
        <v>2022</v>
      </c>
      <c r="D290" s="1" t="s">
        <v>27</v>
      </c>
      <c r="E290" s="1" t="s">
        <v>102</v>
      </c>
      <c r="F290" s="1" t="s">
        <v>103</v>
      </c>
      <c r="G290" s="1">
        <v>0</v>
      </c>
      <c r="H290" s="1" t="s">
        <v>434</v>
      </c>
      <c r="I290" s="1" t="s">
        <v>997</v>
      </c>
      <c r="J290" s="1" t="s">
        <v>998</v>
      </c>
      <c r="K290" s="1" t="s">
        <v>942</v>
      </c>
      <c r="L290" s="1" t="s">
        <v>133</v>
      </c>
      <c r="M290" s="1" t="s">
        <v>51</v>
      </c>
      <c r="N290" s="1"/>
      <c r="O290" s="1">
        <f t="shared" si="4"/>
        <v>0</v>
      </c>
      <c r="P290" s="1" t="s">
        <v>452</v>
      </c>
    </row>
    <row r="291" spans="1:16" ht="69.25" customHeight="1">
      <c r="A291" s="1" t="s">
        <v>9</v>
      </c>
      <c r="B291" s="1" t="s">
        <v>25</v>
      </c>
      <c r="C291" s="1">
        <v>2022</v>
      </c>
      <c r="D291" s="1" t="s">
        <v>27</v>
      </c>
      <c r="E291" s="1" t="s">
        <v>106</v>
      </c>
      <c r="F291" s="1" t="s">
        <v>107</v>
      </c>
      <c r="G291" s="1">
        <v>0</v>
      </c>
      <c r="H291" s="1" t="s">
        <v>434</v>
      </c>
      <c r="I291" s="1" t="s">
        <v>1009</v>
      </c>
      <c r="J291" s="1" t="s">
        <v>998</v>
      </c>
      <c r="K291" s="1" t="s">
        <v>1010</v>
      </c>
      <c r="L291" s="1" t="s">
        <v>133</v>
      </c>
      <c r="M291" s="1" t="s">
        <v>51</v>
      </c>
      <c r="N291" s="1"/>
      <c r="O291" s="1">
        <f t="shared" si="4"/>
        <v>0</v>
      </c>
      <c r="P291" s="1" t="s">
        <v>454</v>
      </c>
    </row>
    <row r="292" spans="1:16" ht="69.25" customHeight="1">
      <c r="A292" s="1" t="s">
        <v>9</v>
      </c>
      <c r="B292" s="1" t="s">
        <v>25</v>
      </c>
      <c r="C292" s="1">
        <v>2023</v>
      </c>
      <c r="D292" s="1" t="s">
        <v>27</v>
      </c>
      <c r="E292" s="1" t="s">
        <v>70</v>
      </c>
      <c r="F292" s="1" t="s">
        <v>71</v>
      </c>
      <c r="G292" s="1">
        <v>0</v>
      </c>
      <c r="H292" s="1" t="s">
        <v>434</v>
      </c>
      <c r="I292" s="1" t="s">
        <v>1011</v>
      </c>
      <c r="J292" s="1" t="s">
        <v>1012</v>
      </c>
      <c r="K292" s="1" t="s">
        <v>1013</v>
      </c>
      <c r="L292" s="1" t="s">
        <v>133</v>
      </c>
      <c r="M292" s="1" t="s">
        <v>51</v>
      </c>
      <c r="N292" s="1"/>
      <c r="O292" s="1">
        <f t="shared" si="4"/>
        <v>0</v>
      </c>
      <c r="P292" s="1" t="s">
        <v>700</v>
      </c>
    </row>
    <row r="293" spans="1:16" ht="69.25" customHeight="1">
      <c r="A293" s="1" t="s">
        <v>9</v>
      </c>
      <c r="B293" s="1" t="s">
        <v>25</v>
      </c>
      <c r="C293" s="1">
        <v>2023</v>
      </c>
      <c r="D293" s="1" t="s">
        <v>27</v>
      </c>
      <c r="E293" s="1" t="s">
        <v>74</v>
      </c>
      <c r="F293" s="1" t="s">
        <v>75</v>
      </c>
      <c r="G293" s="1">
        <v>0</v>
      </c>
      <c r="H293" s="1" t="s">
        <v>434</v>
      </c>
      <c r="I293" s="1" t="s">
        <v>1014</v>
      </c>
      <c r="J293" s="1" t="s">
        <v>1012</v>
      </c>
      <c r="K293" s="1" t="s">
        <v>1015</v>
      </c>
      <c r="L293" s="1" t="s">
        <v>133</v>
      </c>
      <c r="M293" s="1" t="s">
        <v>51</v>
      </c>
      <c r="N293" s="1"/>
      <c r="O293" s="1">
        <f t="shared" si="4"/>
        <v>0</v>
      </c>
      <c r="P293" s="1" t="s">
        <v>437</v>
      </c>
    </row>
    <row r="294" spans="1:16" ht="69.25" customHeight="1">
      <c r="A294" s="1" t="s">
        <v>9</v>
      </c>
      <c r="B294" s="1" t="s">
        <v>25</v>
      </c>
      <c r="C294" s="1">
        <v>2023</v>
      </c>
      <c r="D294" s="1" t="s">
        <v>27</v>
      </c>
      <c r="E294" s="1" t="s">
        <v>78</v>
      </c>
      <c r="F294" s="1" t="s">
        <v>79</v>
      </c>
      <c r="G294" s="1">
        <v>0</v>
      </c>
      <c r="H294" s="1" t="s">
        <v>434</v>
      </c>
      <c r="I294" s="1" t="s">
        <v>1016</v>
      </c>
      <c r="J294" s="1" t="s">
        <v>1017</v>
      </c>
      <c r="K294" s="1" t="s">
        <v>1018</v>
      </c>
      <c r="L294" s="1" t="s">
        <v>133</v>
      </c>
      <c r="M294" s="1" t="s">
        <v>51</v>
      </c>
      <c r="N294" s="1"/>
      <c r="O294" s="1">
        <f t="shared" si="4"/>
        <v>0</v>
      </c>
      <c r="P294" s="1" t="s">
        <v>439</v>
      </c>
    </row>
    <row r="295" spans="1:16" ht="69.25" customHeight="1">
      <c r="A295" s="1" t="s">
        <v>9</v>
      </c>
      <c r="B295" s="1" t="s">
        <v>25</v>
      </c>
      <c r="C295" s="1">
        <v>2023</v>
      </c>
      <c r="D295" s="1" t="s">
        <v>27</v>
      </c>
      <c r="E295" s="1" t="s">
        <v>82</v>
      </c>
      <c r="F295" s="1" t="s">
        <v>83</v>
      </c>
      <c r="G295" s="1">
        <v>1</v>
      </c>
      <c r="H295" s="1" t="s">
        <v>429</v>
      </c>
      <c r="I295" s="1" t="s">
        <v>1019</v>
      </c>
      <c r="J295" s="1" t="s">
        <v>1012</v>
      </c>
      <c r="K295" s="1" t="s">
        <v>1020</v>
      </c>
      <c r="L295" s="1" t="s">
        <v>133</v>
      </c>
      <c r="M295" s="1" t="s">
        <v>51</v>
      </c>
      <c r="N295" s="1"/>
      <c r="O295" s="1">
        <f t="shared" si="4"/>
        <v>1</v>
      </c>
      <c r="P295" s="1" t="s">
        <v>465</v>
      </c>
    </row>
    <row r="296" spans="1:16" ht="69.25" customHeight="1">
      <c r="A296" s="1" t="s">
        <v>9</v>
      </c>
      <c r="B296" s="1" t="s">
        <v>25</v>
      </c>
      <c r="C296" s="1">
        <v>2023</v>
      </c>
      <c r="D296" s="1" t="s">
        <v>27</v>
      </c>
      <c r="E296" s="1" t="s">
        <v>86</v>
      </c>
      <c r="F296" s="1" t="s">
        <v>87</v>
      </c>
      <c r="G296" s="1">
        <v>1</v>
      </c>
      <c r="H296" s="1" t="s">
        <v>429</v>
      </c>
      <c r="I296" s="1" t="s">
        <v>1021</v>
      </c>
      <c r="J296" s="1" t="s">
        <v>1012</v>
      </c>
      <c r="K296" s="1" t="s">
        <v>1020</v>
      </c>
      <c r="L296" s="1" t="s">
        <v>133</v>
      </c>
      <c r="M296" s="1" t="s">
        <v>51</v>
      </c>
      <c r="N296" s="1"/>
      <c r="O296" s="1">
        <f t="shared" si="4"/>
        <v>1</v>
      </c>
      <c r="P296" s="1" t="s">
        <v>467</v>
      </c>
    </row>
    <row r="297" spans="1:16" ht="69.25" customHeight="1">
      <c r="A297" s="1" t="s">
        <v>9</v>
      </c>
      <c r="B297" s="1" t="s">
        <v>25</v>
      </c>
      <c r="C297" s="1">
        <v>2023</v>
      </c>
      <c r="D297" s="1" t="s">
        <v>27</v>
      </c>
      <c r="E297" s="1" t="s">
        <v>90</v>
      </c>
      <c r="F297" s="1" t="s">
        <v>91</v>
      </c>
      <c r="G297" s="1">
        <v>0</v>
      </c>
      <c r="H297" s="1" t="s">
        <v>434</v>
      </c>
      <c r="I297" s="1" t="s">
        <v>1022</v>
      </c>
      <c r="J297" s="1" t="s">
        <v>1012</v>
      </c>
      <c r="K297" s="1" t="s">
        <v>947</v>
      </c>
      <c r="L297" s="1" t="s">
        <v>133</v>
      </c>
      <c r="M297" s="1" t="s">
        <v>51</v>
      </c>
      <c r="N297" s="1"/>
      <c r="O297" s="1">
        <f t="shared" si="4"/>
        <v>0</v>
      </c>
      <c r="P297" s="1" t="s">
        <v>444</v>
      </c>
    </row>
    <row r="298" spans="1:16" ht="69.25" customHeight="1">
      <c r="A298" s="1" t="s">
        <v>9</v>
      </c>
      <c r="B298" s="1" t="s">
        <v>25</v>
      </c>
      <c r="C298" s="1">
        <v>2023</v>
      </c>
      <c r="D298" s="1" t="s">
        <v>27</v>
      </c>
      <c r="E298" s="1" t="s">
        <v>94</v>
      </c>
      <c r="F298" s="1" t="s">
        <v>95</v>
      </c>
      <c r="G298" s="1">
        <v>0</v>
      </c>
      <c r="H298" s="1" t="s">
        <v>445</v>
      </c>
      <c r="I298" s="1" t="s">
        <v>1023</v>
      </c>
      <c r="J298" s="1" t="s">
        <v>1017</v>
      </c>
      <c r="K298" s="1" t="s">
        <v>1024</v>
      </c>
      <c r="L298" s="1" t="s">
        <v>133</v>
      </c>
      <c r="M298" s="1" t="s">
        <v>51</v>
      </c>
      <c r="N298" s="1"/>
      <c r="O298" s="1">
        <f t="shared" si="4"/>
        <v>0</v>
      </c>
      <c r="P298" s="1" t="s">
        <v>448</v>
      </c>
    </row>
    <row r="299" spans="1:16" ht="69.25" customHeight="1">
      <c r="A299" s="1" t="s">
        <v>9</v>
      </c>
      <c r="B299" s="1" t="s">
        <v>25</v>
      </c>
      <c r="C299" s="1">
        <v>2023</v>
      </c>
      <c r="D299" s="1" t="s">
        <v>27</v>
      </c>
      <c r="E299" s="1" t="s">
        <v>98</v>
      </c>
      <c r="F299" s="1" t="s">
        <v>99</v>
      </c>
      <c r="G299" s="1">
        <v>1</v>
      </c>
      <c r="H299" s="1" t="s">
        <v>429</v>
      </c>
      <c r="I299" s="1" t="s">
        <v>1025</v>
      </c>
      <c r="J299" s="1" t="s">
        <v>1017</v>
      </c>
      <c r="K299" s="1" t="s">
        <v>1026</v>
      </c>
      <c r="L299" s="1" t="s">
        <v>133</v>
      </c>
      <c r="M299" s="1" t="s">
        <v>51</v>
      </c>
      <c r="N299" s="1"/>
      <c r="O299" s="1">
        <f t="shared" si="4"/>
        <v>1</v>
      </c>
      <c r="P299" s="1" t="s">
        <v>451</v>
      </c>
    </row>
    <row r="300" spans="1:16" ht="69.25" customHeight="1">
      <c r="A300" s="1" t="s">
        <v>9</v>
      </c>
      <c r="B300" s="1" t="s">
        <v>25</v>
      </c>
      <c r="C300" s="1">
        <v>2023</v>
      </c>
      <c r="D300" s="1" t="s">
        <v>27</v>
      </c>
      <c r="E300" s="1" t="s">
        <v>102</v>
      </c>
      <c r="F300" s="1" t="s">
        <v>103</v>
      </c>
      <c r="G300" s="1">
        <v>0</v>
      </c>
      <c r="H300" s="1" t="s">
        <v>434</v>
      </c>
      <c r="I300" s="1" t="s">
        <v>1014</v>
      </c>
      <c r="J300" s="1" t="s">
        <v>1012</v>
      </c>
      <c r="K300" s="1" t="s">
        <v>1015</v>
      </c>
      <c r="L300" s="1" t="s">
        <v>133</v>
      </c>
      <c r="M300" s="1" t="s">
        <v>51</v>
      </c>
      <c r="N300" s="1"/>
      <c r="O300" s="1">
        <f t="shared" si="4"/>
        <v>0</v>
      </c>
      <c r="P300" s="1" t="s">
        <v>452</v>
      </c>
    </row>
    <row r="301" spans="1:16" ht="69.25" customHeight="1">
      <c r="A301" s="1" t="s">
        <v>9</v>
      </c>
      <c r="B301" s="1" t="s">
        <v>25</v>
      </c>
      <c r="C301" s="1">
        <v>2023</v>
      </c>
      <c r="D301" s="1" t="s">
        <v>27</v>
      </c>
      <c r="E301" s="1" t="s">
        <v>106</v>
      </c>
      <c r="F301" s="1" t="s">
        <v>107</v>
      </c>
      <c r="G301" s="1">
        <v>0</v>
      </c>
      <c r="H301" s="1" t="s">
        <v>445</v>
      </c>
      <c r="I301" s="1" t="s">
        <v>1027</v>
      </c>
      <c r="J301" s="1" t="s">
        <v>1012</v>
      </c>
      <c r="K301" s="1" t="s">
        <v>1028</v>
      </c>
      <c r="L301" s="1" t="s">
        <v>133</v>
      </c>
      <c r="M301" s="1" t="s">
        <v>51</v>
      </c>
      <c r="N301" s="1"/>
      <c r="O301" s="1">
        <f t="shared" si="4"/>
        <v>0</v>
      </c>
      <c r="P301" s="1" t="s">
        <v>448</v>
      </c>
    </row>
    <row r="302" spans="1:16" ht="69.25" customHeight="1">
      <c r="A302" s="1" t="s">
        <v>9</v>
      </c>
      <c r="B302" s="1" t="s">
        <v>25</v>
      </c>
      <c r="C302" s="1">
        <v>2024</v>
      </c>
      <c r="D302" s="1" t="s">
        <v>27</v>
      </c>
      <c r="E302" s="1" t="s">
        <v>70</v>
      </c>
      <c r="F302" s="1" t="s">
        <v>71</v>
      </c>
      <c r="G302" s="1">
        <v>1</v>
      </c>
      <c r="H302" s="1" t="s">
        <v>478</v>
      </c>
      <c r="I302" s="1" t="s">
        <v>1029</v>
      </c>
      <c r="J302" s="1" t="s">
        <v>1030</v>
      </c>
      <c r="K302" s="1" t="s">
        <v>1031</v>
      </c>
      <c r="L302" s="1" t="s">
        <v>1032</v>
      </c>
      <c r="M302" s="1" t="s">
        <v>51</v>
      </c>
      <c r="N302" s="1"/>
      <c r="O302" s="1">
        <f t="shared" si="4"/>
        <v>1</v>
      </c>
      <c r="P302" s="1" t="s">
        <v>483</v>
      </c>
    </row>
    <row r="303" spans="1:16" ht="69.25" customHeight="1">
      <c r="A303" s="1" t="s">
        <v>9</v>
      </c>
      <c r="B303" s="1" t="s">
        <v>25</v>
      </c>
      <c r="C303" s="1">
        <v>2024</v>
      </c>
      <c r="D303" s="1" t="s">
        <v>27</v>
      </c>
      <c r="E303" s="1" t="s">
        <v>74</v>
      </c>
      <c r="F303" s="1" t="s">
        <v>75</v>
      </c>
      <c r="G303" s="1">
        <v>1</v>
      </c>
      <c r="H303" s="1" t="s">
        <v>478</v>
      </c>
      <c r="I303" s="1" t="s">
        <v>1033</v>
      </c>
      <c r="J303" s="1" t="s">
        <v>1034</v>
      </c>
      <c r="K303" s="1" t="s">
        <v>653</v>
      </c>
      <c r="L303" s="1" t="s">
        <v>1035</v>
      </c>
      <c r="M303" s="1" t="s">
        <v>51</v>
      </c>
      <c r="N303" s="1"/>
      <c r="O303" s="1">
        <f t="shared" si="4"/>
        <v>1</v>
      </c>
      <c r="P303" s="1" t="s">
        <v>1036</v>
      </c>
    </row>
    <row r="304" spans="1:16" ht="69.25" customHeight="1">
      <c r="A304" s="1" t="s">
        <v>9</v>
      </c>
      <c r="B304" s="1" t="s">
        <v>25</v>
      </c>
      <c r="C304" s="1">
        <v>2024</v>
      </c>
      <c r="D304" s="1" t="s">
        <v>27</v>
      </c>
      <c r="E304" s="1" t="s">
        <v>78</v>
      </c>
      <c r="F304" s="1" t="s">
        <v>79</v>
      </c>
      <c r="G304" s="1">
        <v>1</v>
      </c>
      <c r="H304" s="1" t="s">
        <v>1037</v>
      </c>
      <c r="I304" s="1" t="s">
        <v>1038</v>
      </c>
      <c r="J304" s="1" t="s">
        <v>1039</v>
      </c>
      <c r="K304" s="1" t="s">
        <v>1040</v>
      </c>
      <c r="L304" s="1" t="s">
        <v>1041</v>
      </c>
      <c r="M304" s="1" t="s">
        <v>51</v>
      </c>
      <c r="N304" s="1"/>
      <c r="O304" s="1">
        <f t="shared" si="4"/>
        <v>1</v>
      </c>
      <c r="P304" s="1" t="s">
        <v>1042</v>
      </c>
    </row>
    <row r="305" spans="1:16" ht="69.25" customHeight="1">
      <c r="A305" s="1" t="s">
        <v>9</v>
      </c>
      <c r="B305" s="1" t="s">
        <v>25</v>
      </c>
      <c r="C305" s="1">
        <v>2024</v>
      </c>
      <c r="D305" s="1" t="s">
        <v>27</v>
      </c>
      <c r="E305" s="1" t="s">
        <v>82</v>
      </c>
      <c r="F305" s="1" t="s">
        <v>83</v>
      </c>
      <c r="G305" s="1">
        <v>1</v>
      </c>
      <c r="H305" s="1" t="s">
        <v>478</v>
      </c>
      <c r="I305" s="1" t="s">
        <v>1043</v>
      </c>
      <c r="J305" s="1" t="s">
        <v>1030</v>
      </c>
      <c r="K305" s="1" t="s">
        <v>1044</v>
      </c>
      <c r="L305" s="1" t="s">
        <v>1032</v>
      </c>
      <c r="M305" s="1" t="s">
        <v>51</v>
      </c>
      <c r="N305" s="1"/>
      <c r="O305" s="1">
        <f t="shared" si="4"/>
        <v>1</v>
      </c>
      <c r="P305" s="1" t="s">
        <v>1045</v>
      </c>
    </row>
    <row r="306" spans="1:16" ht="69.25" customHeight="1">
      <c r="A306" s="1" t="s">
        <v>9</v>
      </c>
      <c r="B306" s="1" t="s">
        <v>25</v>
      </c>
      <c r="C306" s="1">
        <v>2024</v>
      </c>
      <c r="D306" s="1" t="s">
        <v>27</v>
      </c>
      <c r="E306" s="1" t="s">
        <v>86</v>
      </c>
      <c r="F306" s="1" t="s">
        <v>87</v>
      </c>
      <c r="G306" s="1">
        <v>1</v>
      </c>
      <c r="H306" s="1" t="s">
        <v>478</v>
      </c>
      <c r="I306" s="1" t="s">
        <v>1046</v>
      </c>
      <c r="J306" s="1" t="s">
        <v>1047</v>
      </c>
      <c r="K306" s="1" t="s">
        <v>1048</v>
      </c>
      <c r="L306" s="1" t="s">
        <v>1035</v>
      </c>
      <c r="M306" s="1" t="s">
        <v>51</v>
      </c>
      <c r="N306" s="1"/>
      <c r="O306" s="1">
        <f t="shared" si="4"/>
        <v>1</v>
      </c>
      <c r="P306" s="1" t="s">
        <v>1049</v>
      </c>
    </row>
    <row r="307" spans="1:16" ht="69.25" customHeight="1">
      <c r="A307" s="1" t="s">
        <v>9</v>
      </c>
      <c r="B307" s="1" t="s">
        <v>25</v>
      </c>
      <c r="C307" s="1">
        <v>2024</v>
      </c>
      <c r="D307" s="1" t="s">
        <v>27</v>
      </c>
      <c r="E307" s="1" t="s">
        <v>90</v>
      </c>
      <c r="F307" s="1" t="s">
        <v>91</v>
      </c>
      <c r="G307" s="1">
        <v>1</v>
      </c>
      <c r="H307" s="1" t="s">
        <v>478</v>
      </c>
      <c r="I307" s="1" t="s">
        <v>1050</v>
      </c>
      <c r="J307" s="1" t="s">
        <v>1030</v>
      </c>
      <c r="K307" s="1" t="s">
        <v>666</v>
      </c>
      <c r="L307" s="1" t="s">
        <v>1032</v>
      </c>
      <c r="M307" s="1" t="s">
        <v>51</v>
      </c>
      <c r="N307" s="1"/>
      <c r="O307" s="1">
        <f t="shared" si="4"/>
        <v>1</v>
      </c>
      <c r="P307" s="1" t="s">
        <v>1051</v>
      </c>
    </row>
    <row r="308" spans="1:16" ht="69.25" customHeight="1">
      <c r="A308" s="1" t="s">
        <v>9</v>
      </c>
      <c r="B308" s="1" t="s">
        <v>25</v>
      </c>
      <c r="C308" s="1">
        <v>2024</v>
      </c>
      <c r="D308" s="1" t="s">
        <v>27</v>
      </c>
      <c r="E308" s="1" t="s">
        <v>94</v>
      </c>
      <c r="F308" s="1" t="s">
        <v>95</v>
      </c>
      <c r="G308" s="1">
        <v>1</v>
      </c>
      <c r="H308" s="1" t="s">
        <v>478</v>
      </c>
      <c r="I308" s="1" t="s">
        <v>1052</v>
      </c>
      <c r="J308" s="1" t="s">
        <v>1053</v>
      </c>
      <c r="K308" s="1" t="s">
        <v>1054</v>
      </c>
      <c r="L308" s="1" t="s">
        <v>1055</v>
      </c>
      <c r="M308" s="1" t="s">
        <v>51</v>
      </c>
      <c r="N308" s="1"/>
      <c r="O308" s="1">
        <f t="shared" si="4"/>
        <v>1</v>
      </c>
      <c r="P308" s="1" t="s">
        <v>1056</v>
      </c>
    </row>
    <row r="309" spans="1:16" ht="69.25" customHeight="1">
      <c r="A309" s="1" t="s">
        <v>9</v>
      </c>
      <c r="B309" s="1" t="s">
        <v>25</v>
      </c>
      <c r="C309" s="1">
        <v>2024</v>
      </c>
      <c r="D309" s="1" t="s">
        <v>27</v>
      </c>
      <c r="E309" s="1" t="s">
        <v>98</v>
      </c>
      <c r="F309" s="1" t="s">
        <v>99</v>
      </c>
      <c r="G309" s="1">
        <v>1</v>
      </c>
      <c r="H309" s="1" t="s">
        <v>478</v>
      </c>
      <c r="I309" s="1" t="s">
        <v>1057</v>
      </c>
      <c r="J309" s="1" t="s">
        <v>1058</v>
      </c>
      <c r="K309" s="1" t="s">
        <v>1059</v>
      </c>
      <c r="L309" s="1" t="s">
        <v>1060</v>
      </c>
      <c r="M309" s="1" t="s">
        <v>51</v>
      </c>
      <c r="N309" s="1"/>
      <c r="O309" s="1">
        <f t="shared" si="4"/>
        <v>1</v>
      </c>
      <c r="P309" s="1" t="s">
        <v>676</v>
      </c>
    </row>
    <row r="310" spans="1:16" ht="69.25" customHeight="1">
      <c r="A310" s="1" t="s">
        <v>9</v>
      </c>
      <c r="B310" s="1" t="s">
        <v>25</v>
      </c>
      <c r="C310" s="1">
        <v>2024</v>
      </c>
      <c r="D310" s="1" t="s">
        <v>27</v>
      </c>
      <c r="E310" s="1" t="s">
        <v>102</v>
      </c>
      <c r="F310" s="1" t="s">
        <v>103</v>
      </c>
      <c r="G310" s="1">
        <v>1</v>
      </c>
      <c r="H310" s="1" t="s">
        <v>1061</v>
      </c>
      <c r="I310" s="1" t="s">
        <v>1062</v>
      </c>
      <c r="J310" s="1" t="s">
        <v>1030</v>
      </c>
      <c r="K310" s="1" t="s">
        <v>678</v>
      </c>
      <c r="L310" s="1" t="s">
        <v>1032</v>
      </c>
      <c r="M310" s="1" t="s">
        <v>51</v>
      </c>
      <c r="N310" s="1"/>
      <c r="O310" s="1">
        <f t="shared" si="4"/>
        <v>1</v>
      </c>
      <c r="P310" s="1" t="s">
        <v>1063</v>
      </c>
    </row>
    <row r="311" spans="1:16" ht="69.25" customHeight="1">
      <c r="A311" s="1" t="s">
        <v>9</v>
      </c>
      <c r="B311" s="1" t="s">
        <v>25</v>
      </c>
      <c r="C311" s="1">
        <v>2024</v>
      </c>
      <c r="D311" s="1" t="s">
        <v>27</v>
      </c>
      <c r="E311" s="1" t="s">
        <v>106</v>
      </c>
      <c r="F311" s="1" t="s">
        <v>107</v>
      </c>
      <c r="G311" s="1">
        <v>1</v>
      </c>
      <c r="H311" s="1" t="s">
        <v>1064</v>
      </c>
      <c r="I311" s="1" t="s">
        <v>1065</v>
      </c>
      <c r="J311" s="1" t="s">
        <v>1030</v>
      </c>
      <c r="K311" s="1" t="s">
        <v>837</v>
      </c>
      <c r="L311" s="1" t="s">
        <v>1032</v>
      </c>
      <c r="M311" s="1" t="s">
        <v>51</v>
      </c>
      <c r="N311" s="1"/>
      <c r="O311" s="1">
        <f t="shared" si="4"/>
        <v>1</v>
      </c>
      <c r="P311" s="1" t="s">
        <v>1066</v>
      </c>
    </row>
    <row r="312" spans="1:16" ht="69.25" customHeight="1">
      <c r="A312" s="1" t="s">
        <v>9</v>
      </c>
      <c r="B312" s="1" t="s">
        <v>25</v>
      </c>
      <c r="C312" s="1">
        <v>2025</v>
      </c>
      <c r="D312" s="1" t="s">
        <v>27</v>
      </c>
      <c r="E312" s="1" t="s">
        <v>70</v>
      </c>
      <c r="F312" s="1" t="s">
        <v>71</v>
      </c>
      <c r="G312" s="1">
        <v>1</v>
      </c>
      <c r="H312" s="1" t="s">
        <v>429</v>
      </c>
      <c r="I312" s="1" t="s">
        <v>1067</v>
      </c>
      <c r="J312" s="1" t="s">
        <v>1068</v>
      </c>
      <c r="K312" s="1" t="s">
        <v>1013</v>
      </c>
      <c r="L312" s="1" t="s">
        <v>133</v>
      </c>
      <c r="M312" s="1" t="s">
        <v>51</v>
      </c>
      <c r="N312" s="1"/>
      <c r="O312" s="1">
        <f t="shared" si="4"/>
        <v>1</v>
      </c>
      <c r="P312" s="1" t="s">
        <v>433</v>
      </c>
    </row>
    <row r="313" spans="1:16" ht="69.25" customHeight="1">
      <c r="A313" s="1" t="s">
        <v>9</v>
      </c>
      <c r="B313" s="1" t="s">
        <v>25</v>
      </c>
      <c r="C313" s="1">
        <v>2025</v>
      </c>
      <c r="D313" s="1" t="s">
        <v>27</v>
      </c>
      <c r="E313" s="1" t="s">
        <v>74</v>
      </c>
      <c r="F313" s="1" t="s">
        <v>75</v>
      </c>
      <c r="G313" s="1">
        <v>0</v>
      </c>
      <c r="H313" s="1" t="s">
        <v>445</v>
      </c>
      <c r="I313" s="1" t="s">
        <v>1069</v>
      </c>
      <c r="J313" s="1" t="s">
        <v>1068</v>
      </c>
      <c r="K313" s="1" t="s">
        <v>1070</v>
      </c>
      <c r="L313" s="1" t="s">
        <v>133</v>
      </c>
      <c r="M313" s="1" t="s">
        <v>51</v>
      </c>
      <c r="N313" s="1"/>
      <c r="O313" s="1">
        <f t="shared" si="4"/>
        <v>0</v>
      </c>
      <c r="P313" s="1" t="s">
        <v>448</v>
      </c>
    </row>
    <row r="314" spans="1:16" ht="69.25" customHeight="1">
      <c r="A314" s="1" t="s">
        <v>9</v>
      </c>
      <c r="B314" s="1" t="s">
        <v>25</v>
      </c>
      <c r="C314" s="1">
        <v>2025</v>
      </c>
      <c r="D314" s="1" t="s">
        <v>27</v>
      </c>
      <c r="E314" s="1" t="s">
        <v>78</v>
      </c>
      <c r="F314" s="1" t="s">
        <v>79</v>
      </c>
      <c r="G314" s="1">
        <v>1</v>
      </c>
      <c r="H314" s="1" t="s">
        <v>429</v>
      </c>
      <c r="I314" s="1" t="s">
        <v>1071</v>
      </c>
      <c r="J314" s="1" t="s">
        <v>1068</v>
      </c>
      <c r="K314" s="1" t="s">
        <v>1072</v>
      </c>
      <c r="L314" s="1" t="s">
        <v>133</v>
      </c>
      <c r="M314" s="1" t="s">
        <v>51</v>
      </c>
      <c r="N314" s="1"/>
      <c r="O314" s="1">
        <f t="shared" si="4"/>
        <v>1</v>
      </c>
      <c r="P314" s="1" t="s">
        <v>915</v>
      </c>
    </row>
    <row r="315" spans="1:16" ht="69.25" customHeight="1">
      <c r="A315" s="1" t="s">
        <v>9</v>
      </c>
      <c r="B315" s="1" t="s">
        <v>25</v>
      </c>
      <c r="C315" s="1">
        <v>2025</v>
      </c>
      <c r="D315" s="1" t="s">
        <v>27</v>
      </c>
      <c r="E315" s="1" t="s">
        <v>82</v>
      </c>
      <c r="F315" s="1" t="s">
        <v>83</v>
      </c>
      <c r="G315" s="1">
        <v>1</v>
      </c>
      <c r="H315" s="1" t="s">
        <v>429</v>
      </c>
      <c r="I315" s="1" t="s">
        <v>1073</v>
      </c>
      <c r="J315" s="1" t="s">
        <v>1068</v>
      </c>
      <c r="K315" s="1" t="s">
        <v>1074</v>
      </c>
      <c r="L315" s="1" t="s">
        <v>133</v>
      </c>
      <c r="M315" s="1" t="s">
        <v>51</v>
      </c>
      <c r="N315" s="1"/>
      <c r="O315" s="1">
        <f t="shared" si="4"/>
        <v>1</v>
      </c>
      <c r="P315" s="1" t="s">
        <v>465</v>
      </c>
    </row>
    <row r="316" spans="1:16" ht="69.25" customHeight="1">
      <c r="A316" s="1" t="s">
        <v>9</v>
      </c>
      <c r="B316" s="1" t="s">
        <v>25</v>
      </c>
      <c r="C316" s="1">
        <v>2025</v>
      </c>
      <c r="D316" s="1" t="s">
        <v>27</v>
      </c>
      <c r="E316" s="1" t="s">
        <v>86</v>
      </c>
      <c r="F316" s="1" t="s">
        <v>87</v>
      </c>
      <c r="G316" s="1">
        <v>1</v>
      </c>
      <c r="H316" s="1" t="s">
        <v>429</v>
      </c>
      <c r="I316" s="1" t="s">
        <v>1075</v>
      </c>
      <c r="J316" s="1" t="s">
        <v>1068</v>
      </c>
      <c r="K316" s="1" t="s">
        <v>1074</v>
      </c>
      <c r="L316" s="1" t="s">
        <v>133</v>
      </c>
      <c r="M316" s="1" t="s">
        <v>51</v>
      </c>
      <c r="N316" s="1"/>
      <c r="O316" s="1">
        <f t="shared" si="4"/>
        <v>1</v>
      </c>
      <c r="P316" s="1" t="s">
        <v>467</v>
      </c>
    </row>
    <row r="317" spans="1:16" ht="69.25" customHeight="1">
      <c r="A317" s="1" t="s">
        <v>9</v>
      </c>
      <c r="B317" s="1" t="s">
        <v>25</v>
      </c>
      <c r="C317" s="1">
        <v>2025</v>
      </c>
      <c r="D317" s="1" t="s">
        <v>27</v>
      </c>
      <c r="E317" s="1" t="s">
        <v>90</v>
      </c>
      <c r="F317" s="1" t="s">
        <v>91</v>
      </c>
      <c r="G317" s="1">
        <v>1</v>
      </c>
      <c r="H317" s="1" t="s">
        <v>429</v>
      </c>
      <c r="I317" s="1" t="s">
        <v>1076</v>
      </c>
      <c r="J317" s="1" t="s">
        <v>1068</v>
      </c>
      <c r="K317" s="1" t="s">
        <v>942</v>
      </c>
      <c r="L317" s="1" t="s">
        <v>133</v>
      </c>
      <c r="M317" s="1" t="s">
        <v>51</v>
      </c>
      <c r="N317" s="1"/>
      <c r="O317" s="1">
        <f t="shared" si="4"/>
        <v>1</v>
      </c>
      <c r="P317" s="1" t="s">
        <v>526</v>
      </c>
    </row>
    <row r="318" spans="1:16" ht="69.25" customHeight="1">
      <c r="A318" s="1" t="s">
        <v>9</v>
      </c>
      <c r="B318" s="1" t="s">
        <v>25</v>
      </c>
      <c r="C318" s="1">
        <v>2025</v>
      </c>
      <c r="D318" s="1" t="s">
        <v>27</v>
      </c>
      <c r="E318" s="1" t="s">
        <v>94</v>
      </c>
      <c r="F318" s="1" t="s">
        <v>95</v>
      </c>
      <c r="G318" s="1">
        <v>1</v>
      </c>
      <c r="H318" s="1" t="s">
        <v>429</v>
      </c>
      <c r="I318" s="1" t="s">
        <v>1077</v>
      </c>
      <c r="J318" s="1" t="s">
        <v>1068</v>
      </c>
      <c r="K318" s="1" t="s">
        <v>1078</v>
      </c>
      <c r="L318" s="1" t="s">
        <v>133</v>
      </c>
      <c r="M318" s="1" t="s">
        <v>51</v>
      </c>
      <c r="N318" s="1"/>
      <c r="O318" s="1">
        <f t="shared" si="4"/>
        <v>1</v>
      </c>
      <c r="P318" s="1" t="s">
        <v>643</v>
      </c>
    </row>
    <row r="319" spans="1:16" ht="69.25" customHeight="1">
      <c r="A319" s="1" t="s">
        <v>9</v>
      </c>
      <c r="B319" s="1" t="s">
        <v>25</v>
      </c>
      <c r="C319" s="1">
        <v>2025</v>
      </c>
      <c r="D319" s="1" t="s">
        <v>27</v>
      </c>
      <c r="E319" s="1" t="s">
        <v>98</v>
      </c>
      <c r="F319" s="1" t="s">
        <v>99</v>
      </c>
      <c r="G319" s="1">
        <v>1</v>
      </c>
      <c r="H319" s="1" t="s">
        <v>429</v>
      </c>
      <c r="I319" s="1" t="s">
        <v>1079</v>
      </c>
      <c r="J319" s="1" t="s">
        <v>1068</v>
      </c>
      <c r="K319" s="1" t="s">
        <v>1080</v>
      </c>
      <c r="L319" s="1" t="s">
        <v>133</v>
      </c>
      <c r="M319" s="1" t="s">
        <v>51</v>
      </c>
      <c r="N319" s="1"/>
      <c r="O319" s="1">
        <f t="shared" si="4"/>
        <v>1</v>
      </c>
      <c r="P319" s="1" t="s">
        <v>451</v>
      </c>
    </row>
    <row r="320" spans="1:16" ht="69.25" customHeight="1">
      <c r="A320" s="1" t="s">
        <v>9</v>
      </c>
      <c r="B320" s="1" t="s">
        <v>25</v>
      </c>
      <c r="C320" s="1">
        <v>2025</v>
      </c>
      <c r="D320" s="1" t="s">
        <v>27</v>
      </c>
      <c r="E320" s="1" t="s">
        <v>102</v>
      </c>
      <c r="F320" s="1" t="s">
        <v>103</v>
      </c>
      <c r="G320" s="1">
        <v>1</v>
      </c>
      <c r="H320" s="1" t="s">
        <v>429</v>
      </c>
      <c r="I320" s="1" t="s">
        <v>1081</v>
      </c>
      <c r="J320" s="1" t="s">
        <v>1068</v>
      </c>
      <c r="K320" s="1" t="s">
        <v>1070</v>
      </c>
      <c r="L320" s="1" t="s">
        <v>133</v>
      </c>
      <c r="M320" s="1" t="s">
        <v>51</v>
      </c>
      <c r="N320" s="1"/>
      <c r="O320" s="1">
        <f t="shared" si="4"/>
        <v>1</v>
      </c>
      <c r="P320" s="1" t="s">
        <v>475</v>
      </c>
    </row>
    <row r="321" spans="1:16" ht="69.25" customHeight="1">
      <c r="A321" s="1" t="s">
        <v>9</v>
      </c>
      <c r="B321" s="1" t="s">
        <v>25</v>
      </c>
      <c r="C321" s="1">
        <v>2025</v>
      </c>
      <c r="D321" s="1" t="s">
        <v>27</v>
      </c>
      <c r="E321" s="1" t="s">
        <v>106</v>
      </c>
      <c r="F321" s="1" t="s">
        <v>107</v>
      </c>
      <c r="G321" s="1">
        <v>0</v>
      </c>
      <c r="H321" s="1" t="s">
        <v>445</v>
      </c>
      <c r="I321" s="1" t="s">
        <v>1082</v>
      </c>
      <c r="J321" s="1" t="s">
        <v>1068</v>
      </c>
      <c r="K321" s="1" t="s">
        <v>1083</v>
      </c>
      <c r="L321" s="1" t="s">
        <v>133</v>
      </c>
      <c r="M321" s="1" t="s">
        <v>51</v>
      </c>
      <c r="N321" s="1"/>
      <c r="O321" s="1">
        <f t="shared" si="4"/>
        <v>0</v>
      </c>
      <c r="P321" s="1" t="s">
        <v>448</v>
      </c>
    </row>
    <row r="322" spans="1:16" ht="69.25" customHeight="1">
      <c r="A322" s="1" t="s">
        <v>9</v>
      </c>
      <c r="B322" s="1" t="s">
        <v>28</v>
      </c>
      <c r="C322" s="1">
        <v>2022</v>
      </c>
      <c r="D322" s="1" t="s">
        <v>30</v>
      </c>
      <c r="E322" s="1" t="s">
        <v>70</v>
      </c>
      <c r="F322" s="1" t="s">
        <v>71</v>
      </c>
      <c r="G322" s="1">
        <v>1</v>
      </c>
      <c r="H322" s="1" t="s">
        <v>429</v>
      </c>
      <c r="I322" s="1" t="s">
        <v>1084</v>
      </c>
      <c r="J322" s="1" t="s">
        <v>1085</v>
      </c>
      <c r="K322" s="1" t="s">
        <v>761</v>
      </c>
      <c r="L322" s="1" t="s">
        <v>135</v>
      </c>
      <c r="M322" s="1" t="s">
        <v>51</v>
      </c>
      <c r="N322" s="1"/>
      <c r="O322" s="1">
        <f t="shared" ref="O322:O385" si="5">IF(N322&lt;&gt;"",N322,G322)</f>
        <v>1</v>
      </c>
      <c r="P322" s="1" t="s">
        <v>433</v>
      </c>
    </row>
    <row r="323" spans="1:16" ht="69.25" customHeight="1">
      <c r="A323" s="1" t="s">
        <v>9</v>
      </c>
      <c r="B323" s="1" t="s">
        <v>28</v>
      </c>
      <c r="C323" s="1">
        <v>2022</v>
      </c>
      <c r="D323" s="1" t="s">
        <v>30</v>
      </c>
      <c r="E323" s="1" t="s">
        <v>74</v>
      </c>
      <c r="F323" s="1" t="s">
        <v>75</v>
      </c>
      <c r="G323" s="1">
        <v>0</v>
      </c>
      <c r="H323" s="1" t="s">
        <v>434</v>
      </c>
      <c r="I323" s="1" t="s">
        <v>1086</v>
      </c>
      <c r="J323" s="1" t="s">
        <v>1085</v>
      </c>
      <c r="K323" s="1" t="s">
        <v>631</v>
      </c>
      <c r="L323" s="1" t="s">
        <v>135</v>
      </c>
      <c r="M323" s="1" t="s">
        <v>51</v>
      </c>
      <c r="N323" s="1"/>
      <c r="O323" s="1">
        <f t="shared" si="5"/>
        <v>0</v>
      </c>
      <c r="P323" s="1" t="s">
        <v>437</v>
      </c>
    </row>
    <row r="324" spans="1:16" ht="69.25" customHeight="1">
      <c r="A324" s="1" t="s">
        <v>9</v>
      </c>
      <c r="B324" s="1" t="s">
        <v>28</v>
      </c>
      <c r="C324" s="1">
        <v>2022</v>
      </c>
      <c r="D324" s="1" t="s">
        <v>30</v>
      </c>
      <c r="E324" s="1" t="s">
        <v>78</v>
      </c>
      <c r="F324" s="1" t="s">
        <v>79</v>
      </c>
      <c r="G324" s="1">
        <v>0</v>
      </c>
      <c r="H324" s="1" t="s">
        <v>434</v>
      </c>
      <c r="I324" s="1" t="s">
        <v>1087</v>
      </c>
      <c r="J324" s="1" t="s">
        <v>1085</v>
      </c>
      <c r="K324" s="1" t="s">
        <v>718</v>
      </c>
      <c r="L324" s="1" t="s">
        <v>135</v>
      </c>
      <c r="M324" s="1" t="s">
        <v>51</v>
      </c>
      <c r="N324" s="1"/>
      <c r="O324" s="1">
        <f t="shared" si="5"/>
        <v>0</v>
      </c>
      <c r="P324" s="1" t="s">
        <v>1088</v>
      </c>
    </row>
    <row r="325" spans="1:16" ht="69.25" customHeight="1">
      <c r="A325" s="1" t="s">
        <v>9</v>
      </c>
      <c r="B325" s="1" t="s">
        <v>28</v>
      </c>
      <c r="C325" s="1">
        <v>2022</v>
      </c>
      <c r="D325" s="1" t="s">
        <v>30</v>
      </c>
      <c r="E325" s="1" t="s">
        <v>82</v>
      </c>
      <c r="F325" s="1" t="s">
        <v>83</v>
      </c>
      <c r="G325" s="1">
        <v>0</v>
      </c>
      <c r="H325" s="1" t="s">
        <v>445</v>
      </c>
      <c r="I325" s="1" t="s">
        <v>1089</v>
      </c>
      <c r="J325" s="1" t="s">
        <v>1085</v>
      </c>
      <c r="K325" s="1" t="s">
        <v>631</v>
      </c>
      <c r="L325" s="1" t="s">
        <v>135</v>
      </c>
      <c r="M325" s="1" t="s">
        <v>51</v>
      </c>
      <c r="N325" s="1"/>
      <c r="O325" s="1">
        <f t="shared" si="5"/>
        <v>0</v>
      </c>
      <c r="P325" s="1" t="s">
        <v>448</v>
      </c>
    </row>
    <row r="326" spans="1:16" ht="69.25" customHeight="1">
      <c r="A326" s="1" t="s">
        <v>9</v>
      </c>
      <c r="B326" s="1" t="s">
        <v>28</v>
      </c>
      <c r="C326" s="1">
        <v>2022</v>
      </c>
      <c r="D326" s="1" t="s">
        <v>30</v>
      </c>
      <c r="E326" s="1" t="s">
        <v>86</v>
      </c>
      <c r="F326" s="1" t="s">
        <v>87</v>
      </c>
      <c r="G326" s="1">
        <v>1</v>
      </c>
      <c r="H326" s="1" t="s">
        <v>429</v>
      </c>
      <c r="I326" s="1" t="s">
        <v>1090</v>
      </c>
      <c r="J326" s="1" t="s">
        <v>1085</v>
      </c>
      <c r="K326" s="1" t="s">
        <v>631</v>
      </c>
      <c r="L326" s="1" t="s">
        <v>135</v>
      </c>
      <c r="M326" s="1" t="s">
        <v>51</v>
      </c>
      <c r="N326" s="1"/>
      <c r="O326" s="1">
        <f t="shared" si="5"/>
        <v>1</v>
      </c>
      <c r="P326" s="1" t="s">
        <v>467</v>
      </c>
    </row>
    <row r="327" spans="1:16" ht="69.25" customHeight="1">
      <c r="A327" s="1" t="s">
        <v>9</v>
      </c>
      <c r="B327" s="1" t="s">
        <v>28</v>
      </c>
      <c r="C327" s="1">
        <v>2022</v>
      </c>
      <c r="D327" s="1" t="s">
        <v>30</v>
      </c>
      <c r="E327" s="1" t="s">
        <v>90</v>
      </c>
      <c r="F327" s="1" t="s">
        <v>91</v>
      </c>
      <c r="G327" s="1">
        <v>1</v>
      </c>
      <c r="H327" s="1" t="s">
        <v>429</v>
      </c>
      <c r="I327" s="1" t="s">
        <v>1089</v>
      </c>
      <c r="J327" s="1" t="s">
        <v>1085</v>
      </c>
      <c r="K327" s="1" t="s">
        <v>631</v>
      </c>
      <c r="L327" s="1" t="s">
        <v>135</v>
      </c>
      <c r="M327" s="1" t="s">
        <v>51</v>
      </c>
      <c r="N327" s="1"/>
      <c r="O327" s="1">
        <f t="shared" si="5"/>
        <v>1</v>
      </c>
      <c r="P327" s="1" t="s">
        <v>526</v>
      </c>
    </row>
    <row r="328" spans="1:16" ht="69.25" customHeight="1">
      <c r="A328" s="1" t="s">
        <v>9</v>
      </c>
      <c r="B328" s="1" t="s">
        <v>28</v>
      </c>
      <c r="C328" s="1">
        <v>2022</v>
      </c>
      <c r="D328" s="1" t="s">
        <v>30</v>
      </c>
      <c r="E328" s="1" t="s">
        <v>94</v>
      </c>
      <c r="F328" s="1" t="s">
        <v>95</v>
      </c>
      <c r="G328" s="1">
        <v>0</v>
      </c>
      <c r="H328" s="1" t="s">
        <v>434</v>
      </c>
      <c r="I328" s="1" t="s">
        <v>1091</v>
      </c>
      <c r="J328" s="1" t="s">
        <v>1085</v>
      </c>
      <c r="K328" s="1" t="s">
        <v>555</v>
      </c>
      <c r="L328" s="1" t="s">
        <v>135</v>
      </c>
      <c r="M328" s="1" t="s">
        <v>51</v>
      </c>
      <c r="N328" s="1"/>
      <c r="O328" s="1">
        <f t="shared" si="5"/>
        <v>0</v>
      </c>
      <c r="P328" s="1" t="s">
        <v>795</v>
      </c>
    </row>
    <row r="329" spans="1:16" ht="69.25" customHeight="1">
      <c r="A329" s="1" t="s">
        <v>9</v>
      </c>
      <c r="B329" s="1" t="s">
        <v>28</v>
      </c>
      <c r="C329" s="1">
        <v>2022</v>
      </c>
      <c r="D329" s="1" t="s">
        <v>30</v>
      </c>
      <c r="E329" s="1" t="s">
        <v>98</v>
      </c>
      <c r="F329" s="1" t="s">
        <v>99</v>
      </c>
      <c r="G329" s="1">
        <v>0</v>
      </c>
      <c r="H329" s="1" t="s">
        <v>434</v>
      </c>
      <c r="I329" s="1" t="s">
        <v>1092</v>
      </c>
      <c r="J329" s="1" t="s">
        <v>1085</v>
      </c>
      <c r="K329" s="1" t="s">
        <v>1093</v>
      </c>
      <c r="L329" s="1" t="s">
        <v>135</v>
      </c>
      <c r="M329" s="1" t="s">
        <v>51</v>
      </c>
      <c r="N329" s="1"/>
      <c r="O329" s="1">
        <f t="shared" si="5"/>
        <v>0</v>
      </c>
      <c r="P329" s="1" t="s">
        <v>472</v>
      </c>
    </row>
    <row r="330" spans="1:16" ht="69.25" customHeight="1">
      <c r="A330" s="1" t="s">
        <v>9</v>
      </c>
      <c r="B330" s="1" t="s">
        <v>28</v>
      </c>
      <c r="C330" s="1">
        <v>2022</v>
      </c>
      <c r="D330" s="1" t="s">
        <v>30</v>
      </c>
      <c r="E330" s="1" t="s">
        <v>102</v>
      </c>
      <c r="F330" s="1" t="s">
        <v>103</v>
      </c>
      <c r="G330" s="1">
        <v>1</v>
      </c>
      <c r="H330" s="1" t="s">
        <v>429</v>
      </c>
      <c r="I330" s="1" t="s">
        <v>1094</v>
      </c>
      <c r="J330" s="1" t="s">
        <v>1085</v>
      </c>
      <c r="K330" s="1" t="s">
        <v>1095</v>
      </c>
      <c r="L330" s="1" t="s">
        <v>135</v>
      </c>
      <c r="M330" s="1" t="s">
        <v>51</v>
      </c>
      <c r="N330" s="1"/>
      <c r="O330" s="1">
        <f t="shared" si="5"/>
        <v>1</v>
      </c>
      <c r="P330" s="1" t="s">
        <v>475</v>
      </c>
    </row>
    <row r="331" spans="1:16" ht="69.25" customHeight="1">
      <c r="A331" s="1" t="s">
        <v>9</v>
      </c>
      <c r="B331" s="1" t="s">
        <v>28</v>
      </c>
      <c r="C331" s="1">
        <v>2022</v>
      </c>
      <c r="D331" s="1" t="s">
        <v>30</v>
      </c>
      <c r="E331" s="1" t="s">
        <v>106</v>
      </c>
      <c r="F331" s="1" t="s">
        <v>107</v>
      </c>
      <c r="G331" s="1">
        <v>0</v>
      </c>
      <c r="H331" s="1" t="s">
        <v>445</v>
      </c>
      <c r="I331" s="1" t="s">
        <v>1096</v>
      </c>
      <c r="J331" s="1" t="s">
        <v>1097</v>
      </c>
      <c r="K331" s="1" t="s">
        <v>708</v>
      </c>
      <c r="L331" s="1" t="s">
        <v>135</v>
      </c>
      <c r="M331" s="1" t="s">
        <v>51</v>
      </c>
      <c r="N331" s="1"/>
      <c r="O331" s="1">
        <f t="shared" si="5"/>
        <v>0</v>
      </c>
      <c r="P331" s="1" t="s">
        <v>448</v>
      </c>
    </row>
    <row r="332" spans="1:16" ht="69.25" customHeight="1">
      <c r="A332" s="1" t="s">
        <v>9</v>
      </c>
      <c r="B332" s="1" t="s">
        <v>28</v>
      </c>
      <c r="C332" s="1">
        <v>2023</v>
      </c>
      <c r="D332" s="1" t="s">
        <v>30</v>
      </c>
      <c r="E332" s="1" t="s">
        <v>70</v>
      </c>
      <c r="F332" s="1" t="s">
        <v>71</v>
      </c>
      <c r="G332" s="1">
        <v>1</v>
      </c>
      <c r="H332" s="1" t="s">
        <v>429</v>
      </c>
      <c r="I332" s="1" t="s">
        <v>1098</v>
      </c>
      <c r="J332" s="1" t="s">
        <v>1099</v>
      </c>
      <c r="K332" s="1" t="s">
        <v>631</v>
      </c>
      <c r="L332" s="1" t="s">
        <v>135</v>
      </c>
      <c r="M332" s="1" t="s">
        <v>51</v>
      </c>
      <c r="N332" s="1"/>
      <c r="O332" s="1">
        <f t="shared" si="5"/>
        <v>1</v>
      </c>
      <c r="P332" s="1" t="s">
        <v>433</v>
      </c>
    </row>
    <row r="333" spans="1:16" ht="69.25" customHeight="1">
      <c r="A333" s="1" t="s">
        <v>9</v>
      </c>
      <c r="B333" s="1" t="s">
        <v>28</v>
      </c>
      <c r="C333" s="1">
        <v>2023</v>
      </c>
      <c r="D333" s="1" t="s">
        <v>30</v>
      </c>
      <c r="E333" s="1" t="s">
        <v>74</v>
      </c>
      <c r="F333" s="1" t="s">
        <v>75</v>
      </c>
      <c r="G333" s="1">
        <v>1</v>
      </c>
      <c r="H333" s="1" t="s">
        <v>429</v>
      </c>
      <c r="I333" s="1" t="s">
        <v>1100</v>
      </c>
      <c r="J333" s="1" t="s">
        <v>1099</v>
      </c>
      <c r="K333" s="1" t="s">
        <v>859</v>
      </c>
      <c r="L333" s="1" t="s">
        <v>135</v>
      </c>
      <c r="M333" s="1" t="s">
        <v>51</v>
      </c>
      <c r="N333" s="1"/>
      <c r="O333" s="1">
        <f t="shared" si="5"/>
        <v>1</v>
      </c>
      <c r="P333" s="1" t="s">
        <v>460</v>
      </c>
    </row>
    <row r="334" spans="1:16" ht="69.25" customHeight="1">
      <c r="A334" s="1" t="s">
        <v>9</v>
      </c>
      <c r="B334" s="1" t="s">
        <v>28</v>
      </c>
      <c r="C334" s="1">
        <v>2023</v>
      </c>
      <c r="D334" s="1" t="s">
        <v>30</v>
      </c>
      <c r="E334" s="1" t="s">
        <v>78</v>
      </c>
      <c r="F334" s="1" t="s">
        <v>79</v>
      </c>
      <c r="G334" s="1">
        <v>0</v>
      </c>
      <c r="H334" s="1" t="s">
        <v>434</v>
      </c>
      <c r="I334" s="1" t="s">
        <v>1101</v>
      </c>
      <c r="J334" s="1" t="s">
        <v>1099</v>
      </c>
      <c r="K334" s="1" t="s">
        <v>631</v>
      </c>
      <c r="L334" s="1" t="s">
        <v>135</v>
      </c>
      <c r="M334" s="1" t="s">
        <v>51</v>
      </c>
      <c r="N334" s="1"/>
      <c r="O334" s="1">
        <f t="shared" si="5"/>
        <v>0</v>
      </c>
      <c r="P334" s="1" t="s">
        <v>1088</v>
      </c>
    </row>
    <row r="335" spans="1:16" ht="69.25" customHeight="1">
      <c r="A335" s="1" t="s">
        <v>9</v>
      </c>
      <c r="B335" s="1" t="s">
        <v>28</v>
      </c>
      <c r="C335" s="1">
        <v>2023</v>
      </c>
      <c r="D335" s="1" t="s">
        <v>30</v>
      </c>
      <c r="E335" s="1" t="s">
        <v>82</v>
      </c>
      <c r="F335" s="1" t="s">
        <v>83</v>
      </c>
      <c r="G335" s="1">
        <v>0</v>
      </c>
      <c r="H335" s="1" t="s">
        <v>445</v>
      </c>
      <c r="I335" s="1" t="s">
        <v>1102</v>
      </c>
      <c r="J335" s="1" t="s">
        <v>1099</v>
      </c>
      <c r="K335" s="1" t="s">
        <v>774</v>
      </c>
      <c r="L335" s="1" t="s">
        <v>135</v>
      </c>
      <c r="M335" s="1" t="s">
        <v>51</v>
      </c>
      <c r="N335" s="1"/>
      <c r="O335" s="1">
        <f t="shared" si="5"/>
        <v>0</v>
      </c>
      <c r="P335" s="1" t="s">
        <v>448</v>
      </c>
    </row>
    <row r="336" spans="1:16" ht="69.25" customHeight="1">
      <c r="A336" s="1" t="s">
        <v>9</v>
      </c>
      <c r="B336" s="1" t="s">
        <v>28</v>
      </c>
      <c r="C336" s="1">
        <v>2023</v>
      </c>
      <c r="D336" s="1" t="s">
        <v>30</v>
      </c>
      <c r="E336" s="1" t="s">
        <v>86</v>
      </c>
      <c r="F336" s="1" t="s">
        <v>87</v>
      </c>
      <c r="G336" s="1">
        <v>1</v>
      </c>
      <c r="H336" s="1" t="s">
        <v>429</v>
      </c>
      <c r="I336" s="1" t="s">
        <v>1103</v>
      </c>
      <c r="J336" s="1" t="s">
        <v>1099</v>
      </c>
      <c r="K336" s="1" t="s">
        <v>774</v>
      </c>
      <c r="L336" s="1" t="s">
        <v>135</v>
      </c>
      <c r="M336" s="1" t="s">
        <v>51</v>
      </c>
      <c r="N336" s="1"/>
      <c r="O336" s="1">
        <f t="shared" si="5"/>
        <v>1</v>
      </c>
      <c r="P336" s="1" t="s">
        <v>467</v>
      </c>
    </row>
    <row r="337" spans="1:16" ht="69.25" customHeight="1">
      <c r="A337" s="1" t="s">
        <v>9</v>
      </c>
      <c r="B337" s="1" t="s">
        <v>28</v>
      </c>
      <c r="C337" s="1">
        <v>2023</v>
      </c>
      <c r="D337" s="1" t="s">
        <v>30</v>
      </c>
      <c r="E337" s="1" t="s">
        <v>90</v>
      </c>
      <c r="F337" s="1" t="s">
        <v>91</v>
      </c>
      <c r="G337" s="1">
        <v>1</v>
      </c>
      <c r="H337" s="1" t="s">
        <v>429</v>
      </c>
      <c r="I337" s="1" t="s">
        <v>1104</v>
      </c>
      <c r="J337" s="1" t="s">
        <v>1099</v>
      </c>
      <c r="K337" s="1" t="s">
        <v>528</v>
      </c>
      <c r="L337" s="1" t="s">
        <v>135</v>
      </c>
      <c r="M337" s="1" t="s">
        <v>51</v>
      </c>
      <c r="N337" s="1"/>
      <c r="O337" s="1">
        <f t="shared" si="5"/>
        <v>1</v>
      </c>
      <c r="P337" s="1" t="s">
        <v>526</v>
      </c>
    </row>
    <row r="338" spans="1:16" ht="69.25" customHeight="1">
      <c r="A338" s="1" t="s">
        <v>9</v>
      </c>
      <c r="B338" s="1" t="s">
        <v>28</v>
      </c>
      <c r="C338" s="1">
        <v>2023</v>
      </c>
      <c r="D338" s="1" t="s">
        <v>30</v>
      </c>
      <c r="E338" s="1" t="s">
        <v>94</v>
      </c>
      <c r="F338" s="1" t="s">
        <v>95</v>
      </c>
      <c r="G338" s="1">
        <v>1</v>
      </c>
      <c r="H338" s="1" t="s">
        <v>429</v>
      </c>
      <c r="I338" s="1" t="s">
        <v>1105</v>
      </c>
      <c r="J338" s="1" t="s">
        <v>1099</v>
      </c>
      <c r="K338" s="1" t="s">
        <v>776</v>
      </c>
      <c r="L338" s="1" t="s">
        <v>135</v>
      </c>
      <c r="M338" s="1" t="s">
        <v>51</v>
      </c>
      <c r="N338" s="1"/>
      <c r="O338" s="1">
        <f t="shared" si="5"/>
        <v>1</v>
      </c>
      <c r="P338" s="1" t="s">
        <v>643</v>
      </c>
    </row>
    <row r="339" spans="1:16" ht="69.25" customHeight="1">
      <c r="A339" s="1" t="s">
        <v>9</v>
      </c>
      <c r="B339" s="1" t="s">
        <v>28</v>
      </c>
      <c r="C339" s="1">
        <v>2023</v>
      </c>
      <c r="D339" s="1" t="s">
        <v>30</v>
      </c>
      <c r="E339" s="1" t="s">
        <v>98</v>
      </c>
      <c r="F339" s="1" t="s">
        <v>99</v>
      </c>
      <c r="G339" s="1">
        <v>0</v>
      </c>
      <c r="H339" s="1" t="s">
        <v>445</v>
      </c>
      <c r="I339" s="1" t="s">
        <v>1106</v>
      </c>
      <c r="J339" s="1" t="s">
        <v>1099</v>
      </c>
      <c r="K339" s="1" t="s">
        <v>918</v>
      </c>
      <c r="L339" s="1" t="s">
        <v>135</v>
      </c>
      <c r="M339" s="1" t="s">
        <v>51</v>
      </c>
      <c r="N339" s="1"/>
      <c r="O339" s="1">
        <f t="shared" si="5"/>
        <v>0</v>
      </c>
      <c r="P339" s="1" t="s">
        <v>448</v>
      </c>
    </row>
    <row r="340" spans="1:16" ht="69.25" customHeight="1">
      <c r="A340" s="1" t="s">
        <v>9</v>
      </c>
      <c r="B340" s="1" t="s">
        <v>28</v>
      </c>
      <c r="C340" s="1">
        <v>2023</v>
      </c>
      <c r="D340" s="1" t="s">
        <v>30</v>
      </c>
      <c r="E340" s="1" t="s">
        <v>102</v>
      </c>
      <c r="F340" s="1" t="s">
        <v>103</v>
      </c>
      <c r="G340" s="1">
        <v>1</v>
      </c>
      <c r="H340" s="1" t="s">
        <v>429</v>
      </c>
      <c r="I340" s="1" t="s">
        <v>1107</v>
      </c>
      <c r="J340" s="1" t="s">
        <v>1099</v>
      </c>
      <c r="K340" s="1" t="s">
        <v>859</v>
      </c>
      <c r="L340" s="1" t="s">
        <v>135</v>
      </c>
      <c r="M340" s="1" t="s">
        <v>51</v>
      </c>
      <c r="N340" s="1"/>
      <c r="O340" s="1">
        <f t="shared" si="5"/>
        <v>1</v>
      </c>
      <c r="P340" s="1" t="s">
        <v>475</v>
      </c>
    </row>
    <row r="341" spans="1:16" ht="69.25" customHeight="1">
      <c r="A341" s="1" t="s">
        <v>9</v>
      </c>
      <c r="B341" s="1" t="s">
        <v>28</v>
      </c>
      <c r="C341" s="1">
        <v>2023</v>
      </c>
      <c r="D341" s="1" t="s">
        <v>30</v>
      </c>
      <c r="E341" s="1" t="s">
        <v>106</v>
      </c>
      <c r="F341" s="1" t="s">
        <v>107</v>
      </c>
      <c r="G341" s="1">
        <v>0</v>
      </c>
      <c r="H341" s="1" t="s">
        <v>445</v>
      </c>
      <c r="I341" s="1" t="s">
        <v>1108</v>
      </c>
      <c r="J341" s="1" t="s">
        <v>1109</v>
      </c>
      <c r="K341" s="1" t="s">
        <v>708</v>
      </c>
      <c r="L341" s="1" t="s">
        <v>135</v>
      </c>
      <c r="M341" s="1" t="s">
        <v>51</v>
      </c>
      <c r="N341" s="1"/>
      <c r="O341" s="1">
        <f t="shared" si="5"/>
        <v>0</v>
      </c>
      <c r="P341" s="1" t="s">
        <v>448</v>
      </c>
    </row>
    <row r="342" spans="1:16" ht="69.25" customHeight="1">
      <c r="A342" s="1" t="s">
        <v>9</v>
      </c>
      <c r="B342" s="1" t="s">
        <v>28</v>
      </c>
      <c r="C342" s="1">
        <v>2024</v>
      </c>
      <c r="D342" s="1" t="s">
        <v>30</v>
      </c>
      <c r="E342" s="1" t="s">
        <v>70</v>
      </c>
      <c r="F342" s="1" t="s">
        <v>71</v>
      </c>
      <c r="G342" s="1">
        <v>1</v>
      </c>
      <c r="H342" s="1" t="s">
        <v>478</v>
      </c>
      <c r="I342" s="1" t="s">
        <v>1110</v>
      </c>
      <c r="J342" s="1" t="s">
        <v>1111</v>
      </c>
      <c r="K342" s="1" t="s">
        <v>804</v>
      </c>
      <c r="L342" s="1" t="s">
        <v>1112</v>
      </c>
      <c r="M342" s="1" t="s">
        <v>51</v>
      </c>
      <c r="N342" s="1"/>
      <c r="O342" s="1">
        <f t="shared" si="5"/>
        <v>1</v>
      </c>
      <c r="P342" s="1" t="s">
        <v>570</v>
      </c>
    </row>
    <row r="343" spans="1:16" ht="69.25" customHeight="1">
      <c r="A343" s="1" t="s">
        <v>9</v>
      </c>
      <c r="B343" s="1" t="s">
        <v>28</v>
      </c>
      <c r="C343" s="1">
        <v>2024</v>
      </c>
      <c r="D343" s="1" t="s">
        <v>30</v>
      </c>
      <c r="E343" s="1" t="s">
        <v>74</v>
      </c>
      <c r="F343" s="1" t="s">
        <v>75</v>
      </c>
      <c r="G343" s="1">
        <v>1</v>
      </c>
      <c r="H343" s="1" t="s">
        <v>478</v>
      </c>
      <c r="I343" s="1" t="s">
        <v>1113</v>
      </c>
      <c r="J343" s="1" t="s">
        <v>1111</v>
      </c>
      <c r="K343" s="1" t="s">
        <v>653</v>
      </c>
      <c r="L343" s="1" t="s">
        <v>1112</v>
      </c>
      <c r="M343" s="1" t="s">
        <v>51</v>
      </c>
      <c r="N343" s="1"/>
      <c r="O343" s="1">
        <f t="shared" si="5"/>
        <v>1</v>
      </c>
      <c r="P343" s="1" t="s">
        <v>1114</v>
      </c>
    </row>
    <row r="344" spans="1:16" ht="69.25" customHeight="1">
      <c r="A344" s="1" t="s">
        <v>9</v>
      </c>
      <c r="B344" s="1" t="s">
        <v>28</v>
      </c>
      <c r="C344" s="1">
        <v>2024</v>
      </c>
      <c r="D344" s="1" t="s">
        <v>30</v>
      </c>
      <c r="E344" s="1" t="s">
        <v>78</v>
      </c>
      <c r="F344" s="1" t="s">
        <v>79</v>
      </c>
      <c r="G344" s="1">
        <v>0</v>
      </c>
      <c r="H344" s="1" t="s">
        <v>478</v>
      </c>
      <c r="I344" s="1" t="s">
        <v>1115</v>
      </c>
      <c r="J344" s="1" t="s">
        <v>1116</v>
      </c>
      <c r="K344" s="1" t="s">
        <v>1117</v>
      </c>
      <c r="L344" s="1" t="s">
        <v>1118</v>
      </c>
      <c r="M344" s="1" t="s">
        <v>51</v>
      </c>
      <c r="N344" s="1"/>
      <c r="O344" s="1">
        <f t="shared" si="5"/>
        <v>0</v>
      </c>
      <c r="P344" s="1" t="s">
        <v>1119</v>
      </c>
    </row>
    <row r="345" spans="1:16" ht="69.25" customHeight="1">
      <c r="A345" s="1" t="s">
        <v>9</v>
      </c>
      <c r="B345" s="1" t="s">
        <v>28</v>
      </c>
      <c r="C345" s="1">
        <v>2024</v>
      </c>
      <c r="D345" s="1" t="s">
        <v>30</v>
      </c>
      <c r="E345" s="1" t="s">
        <v>82</v>
      </c>
      <c r="F345" s="1" t="s">
        <v>83</v>
      </c>
      <c r="G345" s="1">
        <v>1</v>
      </c>
      <c r="H345" s="1" t="s">
        <v>478</v>
      </c>
      <c r="I345" s="1" t="s">
        <v>1120</v>
      </c>
      <c r="J345" s="1" t="s">
        <v>1121</v>
      </c>
      <c r="K345" s="1" t="s">
        <v>1122</v>
      </c>
      <c r="L345" s="1" t="s">
        <v>1123</v>
      </c>
      <c r="M345" s="1" t="s">
        <v>51</v>
      </c>
      <c r="N345" s="1"/>
      <c r="O345" s="1">
        <f t="shared" si="5"/>
        <v>1</v>
      </c>
      <c r="P345" s="1" t="s">
        <v>821</v>
      </c>
    </row>
    <row r="346" spans="1:16" ht="69.25" customHeight="1">
      <c r="A346" s="1" t="s">
        <v>9</v>
      </c>
      <c r="B346" s="1" t="s">
        <v>28</v>
      </c>
      <c r="C346" s="1">
        <v>2024</v>
      </c>
      <c r="D346" s="1" t="s">
        <v>30</v>
      </c>
      <c r="E346" s="1" t="s">
        <v>86</v>
      </c>
      <c r="F346" s="1" t="s">
        <v>87</v>
      </c>
      <c r="G346" s="1">
        <v>1</v>
      </c>
      <c r="H346" s="1" t="s">
        <v>478</v>
      </c>
      <c r="I346" s="1" t="s">
        <v>1124</v>
      </c>
      <c r="J346" s="1" t="s">
        <v>1125</v>
      </c>
      <c r="K346" s="1" t="s">
        <v>1126</v>
      </c>
      <c r="L346" s="1" t="s">
        <v>1127</v>
      </c>
      <c r="M346" s="1" t="s">
        <v>51</v>
      </c>
      <c r="N346" s="1"/>
      <c r="O346" s="1">
        <f t="shared" si="5"/>
        <v>1</v>
      </c>
      <c r="P346" s="1" t="s">
        <v>580</v>
      </c>
    </row>
    <row r="347" spans="1:16" ht="69.25" customHeight="1">
      <c r="A347" s="1" t="s">
        <v>9</v>
      </c>
      <c r="B347" s="1" t="s">
        <v>28</v>
      </c>
      <c r="C347" s="1">
        <v>2024</v>
      </c>
      <c r="D347" s="1" t="s">
        <v>30</v>
      </c>
      <c r="E347" s="1" t="s">
        <v>90</v>
      </c>
      <c r="F347" s="1" t="s">
        <v>91</v>
      </c>
      <c r="G347" s="1">
        <v>1</v>
      </c>
      <c r="H347" s="1" t="s">
        <v>478</v>
      </c>
      <c r="I347" s="1" t="s">
        <v>1128</v>
      </c>
      <c r="J347" s="1" t="s">
        <v>1121</v>
      </c>
      <c r="K347" s="1" t="s">
        <v>819</v>
      </c>
      <c r="L347" s="1" t="s">
        <v>1123</v>
      </c>
      <c r="M347" s="1" t="s">
        <v>51</v>
      </c>
      <c r="N347" s="1"/>
      <c r="O347" s="1">
        <f t="shared" si="5"/>
        <v>1</v>
      </c>
      <c r="P347" s="1" t="s">
        <v>826</v>
      </c>
    </row>
    <row r="348" spans="1:16" ht="69.25" customHeight="1">
      <c r="A348" s="1" t="s">
        <v>9</v>
      </c>
      <c r="B348" s="1" t="s">
        <v>28</v>
      </c>
      <c r="C348" s="1">
        <v>2024</v>
      </c>
      <c r="D348" s="1" t="s">
        <v>30</v>
      </c>
      <c r="E348" s="1" t="s">
        <v>94</v>
      </c>
      <c r="F348" s="1" t="s">
        <v>95</v>
      </c>
      <c r="G348" s="1">
        <v>1</v>
      </c>
      <c r="H348" s="1" t="s">
        <v>478</v>
      </c>
      <c r="I348" s="1" t="s">
        <v>1129</v>
      </c>
      <c r="J348" s="1" t="s">
        <v>1130</v>
      </c>
      <c r="K348" s="1" t="s">
        <v>1131</v>
      </c>
      <c r="L348" s="1" t="s">
        <v>1132</v>
      </c>
      <c r="M348" s="1" t="s">
        <v>51</v>
      </c>
      <c r="N348" s="1"/>
      <c r="O348" s="1">
        <f t="shared" si="5"/>
        <v>1</v>
      </c>
      <c r="P348" s="1" t="s">
        <v>1133</v>
      </c>
    </row>
    <row r="349" spans="1:16" ht="69.25" customHeight="1">
      <c r="A349" s="1" t="s">
        <v>9</v>
      </c>
      <c r="B349" s="1" t="s">
        <v>28</v>
      </c>
      <c r="C349" s="1">
        <v>2024</v>
      </c>
      <c r="D349" s="1" t="s">
        <v>30</v>
      </c>
      <c r="E349" s="1" t="s">
        <v>98</v>
      </c>
      <c r="F349" s="1" t="s">
        <v>99</v>
      </c>
      <c r="G349" s="1">
        <v>1</v>
      </c>
      <c r="H349" s="1" t="s">
        <v>478</v>
      </c>
      <c r="I349" s="1" t="s">
        <v>1134</v>
      </c>
      <c r="J349" s="1" t="s">
        <v>1135</v>
      </c>
      <c r="K349" s="1" t="s">
        <v>591</v>
      </c>
      <c r="L349" s="1" t="s">
        <v>1136</v>
      </c>
      <c r="M349" s="1" t="s">
        <v>51</v>
      </c>
      <c r="N349" s="1"/>
      <c r="O349" s="1">
        <f t="shared" si="5"/>
        <v>1</v>
      </c>
      <c r="P349" s="1" t="s">
        <v>1137</v>
      </c>
    </row>
    <row r="350" spans="1:16" ht="69.25" customHeight="1">
      <c r="A350" s="1" t="s">
        <v>9</v>
      </c>
      <c r="B350" s="1" t="s">
        <v>28</v>
      </c>
      <c r="C350" s="1">
        <v>2024</v>
      </c>
      <c r="D350" s="1" t="s">
        <v>30</v>
      </c>
      <c r="E350" s="1" t="s">
        <v>102</v>
      </c>
      <c r="F350" s="1" t="s">
        <v>103</v>
      </c>
      <c r="G350" s="1">
        <v>1</v>
      </c>
      <c r="H350" s="1" t="s">
        <v>478</v>
      </c>
      <c r="I350" s="1" t="s">
        <v>1138</v>
      </c>
      <c r="J350" s="1" t="s">
        <v>1125</v>
      </c>
      <c r="K350" s="1" t="s">
        <v>829</v>
      </c>
      <c r="L350" s="1" t="s">
        <v>1127</v>
      </c>
      <c r="M350" s="1" t="s">
        <v>51</v>
      </c>
      <c r="N350" s="1"/>
      <c r="O350" s="1">
        <f t="shared" si="5"/>
        <v>1</v>
      </c>
      <c r="P350" s="1" t="s">
        <v>834</v>
      </c>
    </row>
    <row r="351" spans="1:16" ht="69.25" customHeight="1">
      <c r="A351" s="1" t="s">
        <v>9</v>
      </c>
      <c r="B351" s="1" t="s">
        <v>28</v>
      </c>
      <c r="C351" s="1">
        <v>2024</v>
      </c>
      <c r="D351" s="1" t="s">
        <v>30</v>
      </c>
      <c r="E351" s="1" t="s">
        <v>106</v>
      </c>
      <c r="F351" s="1" t="s">
        <v>107</v>
      </c>
      <c r="G351" s="1">
        <v>1</v>
      </c>
      <c r="H351" s="1" t="s">
        <v>478</v>
      </c>
      <c r="I351" s="1" t="s">
        <v>1139</v>
      </c>
      <c r="J351" s="1" t="s">
        <v>1140</v>
      </c>
      <c r="K351" s="1" t="s">
        <v>837</v>
      </c>
      <c r="L351" s="1" t="s">
        <v>1141</v>
      </c>
      <c r="M351" s="1" t="s">
        <v>51</v>
      </c>
      <c r="N351" s="1"/>
      <c r="O351" s="1">
        <f t="shared" si="5"/>
        <v>1</v>
      </c>
      <c r="P351" s="1" t="s">
        <v>1142</v>
      </c>
    </row>
    <row r="352" spans="1:16" ht="69.25" customHeight="1">
      <c r="A352" s="1" t="s">
        <v>9</v>
      </c>
      <c r="B352" s="1" t="s">
        <v>28</v>
      </c>
      <c r="C352" s="1">
        <v>2025</v>
      </c>
      <c r="D352" s="1" t="s">
        <v>30</v>
      </c>
      <c r="E352" s="1" t="s">
        <v>70</v>
      </c>
      <c r="F352" s="1" t="s">
        <v>71</v>
      </c>
      <c r="G352" s="1">
        <v>1</v>
      </c>
      <c r="H352" s="1" t="s">
        <v>429</v>
      </c>
      <c r="I352" s="1" t="s">
        <v>1143</v>
      </c>
      <c r="J352" s="1" t="s">
        <v>1144</v>
      </c>
      <c r="K352" s="1" t="s">
        <v>1145</v>
      </c>
      <c r="L352" s="1" t="s">
        <v>135</v>
      </c>
      <c r="M352" s="1" t="s">
        <v>51</v>
      </c>
      <c r="N352" s="1"/>
      <c r="O352" s="1">
        <f t="shared" si="5"/>
        <v>1</v>
      </c>
      <c r="P352" s="1" t="s">
        <v>433</v>
      </c>
    </row>
    <row r="353" spans="1:16" ht="69.25" customHeight="1">
      <c r="A353" s="1" t="s">
        <v>9</v>
      </c>
      <c r="B353" s="1" t="s">
        <v>28</v>
      </c>
      <c r="C353" s="1">
        <v>2025</v>
      </c>
      <c r="D353" s="1" t="s">
        <v>30</v>
      </c>
      <c r="E353" s="1" t="s">
        <v>74</v>
      </c>
      <c r="F353" s="1" t="s">
        <v>75</v>
      </c>
      <c r="G353" s="1">
        <v>0</v>
      </c>
      <c r="H353" s="1" t="s">
        <v>434</v>
      </c>
      <c r="I353" s="1" t="s">
        <v>1146</v>
      </c>
      <c r="J353" s="1" t="s">
        <v>1144</v>
      </c>
      <c r="K353" s="1" t="s">
        <v>1147</v>
      </c>
      <c r="L353" s="1" t="s">
        <v>135</v>
      </c>
      <c r="M353" s="1" t="s">
        <v>51</v>
      </c>
      <c r="N353" s="1"/>
      <c r="O353" s="1">
        <f t="shared" si="5"/>
        <v>0</v>
      </c>
      <c r="P353" s="1" t="s">
        <v>437</v>
      </c>
    </row>
    <row r="354" spans="1:16" ht="69.25" customHeight="1">
      <c r="A354" s="1" t="s">
        <v>9</v>
      </c>
      <c r="B354" s="1" t="s">
        <v>28</v>
      </c>
      <c r="C354" s="1">
        <v>2025</v>
      </c>
      <c r="D354" s="1" t="s">
        <v>30</v>
      </c>
      <c r="E354" s="1" t="s">
        <v>78</v>
      </c>
      <c r="F354" s="1" t="s">
        <v>79</v>
      </c>
      <c r="G354" s="1">
        <v>0</v>
      </c>
      <c r="H354" s="1" t="s">
        <v>434</v>
      </c>
      <c r="I354" s="1" t="s">
        <v>1148</v>
      </c>
      <c r="J354" s="1" t="s">
        <v>1144</v>
      </c>
      <c r="K354" s="1" t="s">
        <v>801</v>
      </c>
      <c r="L354" s="1" t="s">
        <v>135</v>
      </c>
      <c r="M354" s="1" t="s">
        <v>51</v>
      </c>
      <c r="N354" s="1"/>
      <c r="O354" s="1">
        <f t="shared" si="5"/>
        <v>0</v>
      </c>
      <c r="P354" s="1" t="s">
        <v>1088</v>
      </c>
    </row>
    <row r="355" spans="1:16" ht="69.25" customHeight="1">
      <c r="A355" s="1" t="s">
        <v>9</v>
      </c>
      <c r="B355" s="1" t="s">
        <v>28</v>
      </c>
      <c r="C355" s="1">
        <v>2025</v>
      </c>
      <c r="D355" s="1" t="s">
        <v>30</v>
      </c>
      <c r="E355" s="1" t="s">
        <v>82</v>
      </c>
      <c r="F355" s="1" t="s">
        <v>83</v>
      </c>
      <c r="G355" s="1">
        <v>1</v>
      </c>
      <c r="H355" s="1" t="s">
        <v>429</v>
      </c>
      <c r="I355" s="1" t="s">
        <v>1149</v>
      </c>
      <c r="J355" s="1" t="s">
        <v>1144</v>
      </c>
      <c r="K355" s="1" t="s">
        <v>613</v>
      </c>
      <c r="L355" s="1" t="s">
        <v>135</v>
      </c>
      <c r="M355" s="1" t="s">
        <v>51</v>
      </c>
      <c r="N355" s="1"/>
      <c r="O355" s="1">
        <f t="shared" si="5"/>
        <v>1</v>
      </c>
      <c r="P355" s="1" t="s">
        <v>465</v>
      </c>
    </row>
    <row r="356" spans="1:16" ht="69.25" customHeight="1">
      <c r="A356" s="1" t="s">
        <v>9</v>
      </c>
      <c r="B356" s="1" t="s">
        <v>28</v>
      </c>
      <c r="C356" s="1">
        <v>2025</v>
      </c>
      <c r="D356" s="1" t="s">
        <v>30</v>
      </c>
      <c r="E356" s="1" t="s">
        <v>86</v>
      </c>
      <c r="F356" s="1" t="s">
        <v>87</v>
      </c>
      <c r="G356" s="1">
        <v>1</v>
      </c>
      <c r="H356" s="1" t="s">
        <v>429</v>
      </c>
      <c r="I356" s="1" t="s">
        <v>1150</v>
      </c>
      <c r="J356" s="1" t="s">
        <v>1144</v>
      </c>
      <c r="K356" s="1" t="s">
        <v>613</v>
      </c>
      <c r="L356" s="1" t="s">
        <v>135</v>
      </c>
      <c r="M356" s="1" t="s">
        <v>51</v>
      </c>
      <c r="N356" s="1"/>
      <c r="O356" s="1">
        <f t="shared" si="5"/>
        <v>1</v>
      </c>
      <c r="P356" s="1" t="s">
        <v>467</v>
      </c>
    </row>
    <row r="357" spans="1:16" ht="69.25" customHeight="1">
      <c r="A357" s="1" t="s">
        <v>9</v>
      </c>
      <c r="B357" s="1" t="s">
        <v>28</v>
      </c>
      <c r="C357" s="1">
        <v>2025</v>
      </c>
      <c r="D357" s="1" t="s">
        <v>30</v>
      </c>
      <c r="E357" s="1" t="s">
        <v>90</v>
      </c>
      <c r="F357" s="1" t="s">
        <v>91</v>
      </c>
      <c r="G357" s="1">
        <v>1</v>
      </c>
      <c r="H357" s="1" t="s">
        <v>429</v>
      </c>
      <c r="I357" s="1" t="s">
        <v>1151</v>
      </c>
      <c r="J357" s="1" t="s">
        <v>1144</v>
      </c>
      <c r="K357" s="1" t="s">
        <v>561</v>
      </c>
      <c r="L357" s="1" t="s">
        <v>135</v>
      </c>
      <c r="M357" s="1" t="s">
        <v>51</v>
      </c>
      <c r="N357" s="1"/>
      <c r="O357" s="1">
        <f t="shared" si="5"/>
        <v>1</v>
      </c>
      <c r="P357" s="1" t="s">
        <v>526</v>
      </c>
    </row>
    <row r="358" spans="1:16" ht="69.25" customHeight="1">
      <c r="A358" s="1" t="s">
        <v>9</v>
      </c>
      <c r="B358" s="1" t="s">
        <v>28</v>
      </c>
      <c r="C358" s="1">
        <v>2025</v>
      </c>
      <c r="D358" s="1" t="s">
        <v>30</v>
      </c>
      <c r="E358" s="1" t="s">
        <v>94</v>
      </c>
      <c r="F358" s="1" t="s">
        <v>95</v>
      </c>
      <c r="G358" s="1">
        <v>0</v>
      </c>
      <c r="H358" s="1" t="s">
        <v>434</v>
      </c>
      <c r="I358" s="1" t="s">
        <v>1152</v>
      </c>
      <c r="J358" s="1" t="s">
        <v>1144</v>
      </c>
      <c r="K358" s="1" t="s">
        <v>993</v>
      </c>
      <c r="L358" s="1" t="s">
        <v>135</v>
      </c>
      <c r="M358" s="1" t="s">
        <v>51</v>
      </c>
      <c r="N358" s="1"/>
      <c r="O358" s="1">
        <f t="shared" si="5"/>
        <v>0</v>
      </c>
      <c r="P358" s="1" t="s">
        <v>795</v>
      </c>
    </row>
    <row r="359" spans="1:16" ht="69.25" customHeight="1">
      <c r="A359" s="1" t="s">
        <v>9</v>
      </c>
      <c r="B359" s="1" t="s">
        <v>28</v>
      </c>
      <c r="C359" s="1">
        <v>2025</v>
      </c>
      <c r="D359" s="1" t="s">
        <v>30</v>
      </c>
      <c r="E359" s="1" t="s">
        <v>98</v>
      </c>
      <c r="F359" s="1" t="s">
        <v>99</v>
      </c>
      <c r="G359" s="1">
        <v>0</v>
      </c>
      <c r="H359" s="1" t="s">
        <v>434</v>
      </c>
      <c r="I359" s="1" t="s">
        <v>1153</v>
      </c>
      <c r="J359" s="1" t="s">
        <v>1144</v>
      </c>
      <c r="K359" s="1" t="s">
        <v>471</v>
      </c>
      <c r="L359" s="1" t="s">
        <v>135</v>
      </c>
      <c r="M359" s="1" t="s">
        <v>51</v>
      </c>
      <c r="N359" s="1"/>
      <c r="O359" s="1">
        <f t="shared" si="5"/>
        <v>0</v>
      </c>
      <c r="P359" s="1" t="s">
        <v>472</v>
      </c>
    </row>
    <row r="360" spans="1:16" ht="69.25" customHeight="1">
      <c r="A360" s="1" t="s">
        <v>9</v>
      </c>
      <c r="B360" s="1" t="s">
        <v>28</v>
      </c>
      <c r="C360" s="1">
        <v>2025</v>
      </c>
      <c r="D360" s="1" t="s">
        <v>30</v>
      </c>
      <c r="E360" s="1" t="s">
        <v>102</v>
      </c>
      <c r="F360" s="1" t="s">
        <v>103</v>
      </c>
      <c r="G360" s="1">
        <v>0</v>
      </c>
      <c r="H360" s="1" t="s">
        <v>445</v>
      </c>
      <c r="I360" s="1" t="s">
        <v>1154</v>
      </c>
      <c r="J360" s="1" t="s">
        <v>1144</v>
      </c>
      <c r="K360" s="1" t="s">
        <v>1147</v>
      </c>
      <c r="L360" s="1" t="s">
        <v>135</v>
      </c>
      <c r="M360" s="1" t="s">
        <v>51</v>
      </c>
      <c r="N360" s="1"/>
      <c r="O360" s="1">
        <f t="shared" si="5"/>
        <v>0</v>
      </c>
      <c r="P360" s="1" t="s">
        <v>448</v>
      </c>
    </row>
    <row r="361" spans="1:16" ht="69.25" customHeight="1">
      <c r="A361" s="1" t="s">
        <v>9</v>
      </c>
      <c r="B361" s="1" t="s">
        <v>28</v>
      </c>
      <c r="C361" s="1">
        <v>2025</v>
      </c>
      <c r="D361" s="1" t="s">
        <v>30</v>
      </c>
      <c r="E361" s="1" t="s">
        <v>106</v>
      </c>
      <c r="F361" s="1" t="s">
        <v>107</v>
      </c>
      <c r="G361" s="1">
        <v>0</v>
      </c>
      <c r="H361" s="1" t="s">
        <v>445</v>
      </c>
      <c r="I361" s="1" t="s">
        <v>1155</v>
      </c>
      <c r="J361" s="1" t="s">
        <v>1156</v>
      </c>
      <c r="K361" s="1" t="s">
        <v>708</v>
      </c>
      <c r="L361" s="1" t="s">
        <v>135</v>
      </c>
      <c r="M361" s="1" t="s">
        <v>51</v>
      </c>
      <c r="N361" s="1"/>
      <c r="O361" s="1">
        <f t="shared" si="5"/>
        <v>0</v>
      </c>
      <c r="P361" s="1" t="s">
        <v>448</v>
      </c>
    </row>
    <row r="362" spans="1:16" ht="69.25" customHeight="1">
      <c r="A362" s="1" t="s">
        <v>9</v>
      </c>
      <c r="B362" s="1" t="s">
        <v>31</v>
      </c>
      <c r="C362" s="1">
        <v>2022</v>
      </c>
      <c r="D362" s="1" t="s">
        <v>33</v>
      </c>
      <c r="E362" s="1" t="s">
        <v>70</v>
      </c>
      <c r="F362" s="1" t="s">
        <v>71</v>
      </c>
      <c r="G362" s="1">
        <v>1</v>
      </c>
      <c r="H362" s="1" t="s">
        <v>429</v>
      </c>
      <c r="I362" s="1" t="s">
        <v>1157</v>
      </c>
      <c r="J362" s="1" t="s">
        <v>1158</v>
      </c>
      <c r="K362" s="1" t="s">
        <v>622</v>
      </c>
      <c r="L362" s="1" t="s">
        <v>136</v>
      </c>
      <c r="M362" s="1" t="s">
        <v>51</v>
      </c>
      <c r="N362" s="1"/>
      <c r="O362" s="1">
        <f t="shared" si="5"/>
        <v>1</v>
      </c>
      <c r="P362" s="1" t="s">
        <v>433</v>
      </c>
    </row>
    <row r="363" spans="1:16" ht="69.25" customHeight="1">
      <c r="A363" s="1" t="s">
        <v>9</v>
      </c>
      <c r="B363" s="1" t="s">
        <v>31</v>
      </c>
      <c r="C363" s="1">
        <v>2022</v>
      </c>
      <c r="D363" s="1" t="s">
        <v>33</v>
      </c>
      <c r="E363" s="1" t="s">
        <v>74</v>
      </c>
      <c r="F363" s="1" t="s">
        <v>75</v>
      </c>
      <c r="G363" s="1">
        <v>0</v>
      </c>
      <c r="H363" s="1" t="s">
        <v>434</v>
      </c>
      <c r="I363" s="1" t="s">
        <v>1159</v>
      </c>
      <c r="J363" s="1" t="s">
        <v>1158</v>
      </c>
      <c r="K363" s="1" t="s">
        <v>883</v>
      </c>
      <c r="L363" s="1" t="s">
        <v>136</v>
      </c>
      <c r="M363" s="1" t="s">
        <v>51</v>
      </c>
      <c r="N363" s="1"/>
      <c r="O363" s="1">
        <f t="shared" si="5"/>
        <v>0</v>
      </c>
      <c r="P363" s="1" t="s">
        <v>437</v>
      </c>
    </row>
    <row r="364" spans="1:16" ht="69.25" customHeight="1">
      <c r="A364" s="1" t="s">
        <v>9</v>
      </c>
      <c r="B364" s="1" t="s">
        <v>31</v>
      </c>
      <c r="C364" s="1">
        <v>2022</v>
      </c>
      <c r="D364" s="1" t="s">
        <v>33</v>
      </c>
      <c r="E364" s="1" t="s">
        <v>78</v>
      </c>
      <c r="F364" s="1" t="s">
        <v>79</v>
      </c>
      <c r="G364" s="1">
        <v>0</v>
      </c>
      <c r="H364" s="1" t="s">
        <v>434</v>
      </c>
      <c r="I364" s="1" t="s">
        <v>1160</v>
      </c>
      <c r="J364" s="1" t="s">
        <v>1158</v>
      </c>
      <c r="K364" s="1" t="s">
        <v>1095</v>
      </c>
      <c r="L364" s="1" t="s">
        <v>136</v>
      </c>
      <c r="M364" s="1" t="s">
        <v>51</v>
      </c>
      <c r="N364" s="1"/>
      <c r="O364" s="1">
        <f t="shared" si="5"/>
        <v>0</v>
      </c>
      <c r="P364" s="1" t="s">
        <v>439</v>
      </c>
    </row>
    <row r="365" spans="1:16" ht="69.25" customHeight="1">
      <c r="A365" s="1" t="s">
        <v>9</v>
      </c>
      <c r="B365" s="1" t="s">
        <v>31</v>
      </c>
      <c r="C365" s="1">
        <v>2022</v>
      </c>
      <c r="D365" s="1" t="s">
        <v>33</v>
      </c>
      <c r="E365" s="1" t="s">
        <v>82</v>
      </c>
      <c r="F365" s="1" t="s">
        <v>83</v>
      </c>
      <c r="G365" s="1">
        <v>0</v>
      </c>
      <c r="H365" s="1" t="s">
        <v>434</v>
      </c>
      <c r="I365" s="1" t="s">
        <v>440</v>
      </c>
      <c r="J365" s="1" t="s">
        <v>1161</v>
      </c>
      <c r="K365" s="1"/>
      <c r="L365" s="1" t="s">
        <v>136</v>
      </c>
      <c r="M365" s="1" t="s">
        <v>51</v>
      </c>
      <c r="N365" s="1"/>
      <c r="O365" s="1">
        <f t="shared" si="5"/>
        <v>0</v>
      </c>
      <c r="P365" s="1" t="s">
        <v>441</v>
      </c>
    </row>
    <row r="366" spans="1:16" ht="69.25" customHeight="1">
      <c r="A366" s="1" t="s">
        <v>9</v>
      </c>
      <c r="B366" s="1" t="s">
        <v>31</v>
      </c>
      <c r="C366" s="1">
        <v>2022</v>
      </c>
      <c r="D366" s="1" t="s">
        <v>33</v>
      </c>
      <c r="E366" s="1" t="s">
        <v>86</v>
      </c>
      <c r="F366" s="1" t="s">
        <v>87</v>
      </c>
      <c r="G366" s="1">
        <v>0</v>
      </c>
      <c r="H366" s="1" t="s">
        <v>434</v>
      </c>
      <c r="I366" s="1" t="s">
        <v>440</v>
      </c>
      <c r="J366" s="1" t="s">
        <v>1161</v>
      </c>
      <c r="K366" s="1"/>
      <c r="L366" s="1" t="s">
        <v>136</v>
      </c>
      <c r="M366" s="1" t="s">
        <v>51</v>
      </c>
      <c r="N366" s="1"/>
      <c r="O366" s="1">
        <f t="shared" si="5"/>
        <v>0</v>
      </c>
      <c r="P366" s="1" t="s">
        <v>441</v>
      </c>
    </row>
    <row r="367" spans="1:16" ht="69.25" customHeight="1">
      <c r="A367" s="1" t="s">
        <v>9</v>
      </c>
      <c r="B367" s="1" t="s">
        <v>31</v>
      </c>
      <c r="C367" s="1">
        <v>2022</v>
      </c>
      <c r="D367" s="1" t="s">
        <v>33</v>
      </c>
      <c r="E367" s="1" t="s">
        <v>90</v>
      </c>
      <c r="F367" s="1" t="s">
        <v>91</v>
      </c>
      <c r="G367" s="1">
        <v>0</v>
      </c>
      <c r="H367" s="1" t="s">
        <v>434</v>
      </c>
      <c r="I367" s="1" t="s">
        <v>1162</v>
      </c>
      <c r="J367" s="1" t="s">
        <v>1158</v>
      </c>
      <c r="K367" s="1" t="s">
        <v>1163</v>
      </c>
      <c r="L367" s="1" t="s">
        <v>136</v>
      </c>
      <c r="M367" s="1" t="s">
        <v>51</v>
      </c>
      <c r="N367" s="1"/>
      <c r="O367" s="1">
        <f t="shared" si="5"/>
        <v>0</v>
      </c>
      <c r="P367" s="1" t="s">
        <v>444</v>
      </c>
    </row>
    <row r="368" spans="1:16" ht="69.25" customHeight="1">
      <c r="A368" s="1" t="s">
        <v>9</v>
      </c>
      <c r="B368" s="1" t="s">
        <v>31</v>
      </c>
      <c r="C368" s="1">
        <v>2022</v>
      </c>
      <c r="D368" s="1" t="s">
        <v>33</v>
      </c>
      <c r="E368" s="1" t="s">
        <v>94</v>
      </c>
      <c r="F368" s="1" t="s">
        <v>95</v>
      </c>
      <c r="G368" s="1">
        <v>0</v>
      </c>
      <c r="H368" s="1" t="s">
        <v>445</v>
      </c>
      <c r="I368" s="1" t="s">
        <v>1164</v>
      </c>
      <c r="J368" s="1" t="s">
        <v>1158</v>
      </c>
      <c r="K368" s="1" t="s">
        <v>1165</v>
      </c>
      <c r="L368" s="1" t="s">
        <v>136</v>
      </c>
      <c r="M368" s="1" t="s">
        <v>51</v>
      </c>
      <c r="N368" s="1"/>
      <c r="O368" s="1">
        <f t="shared" si="5"/>
        <v>0</v>
      </c>
      <c r="P368" s="1" t="s">
        <v>448</v>
      </c>
    </row>
    <row r="369" spans="1:16" ht="69.25" customHeight="1">
      <c r="A369" s="1" t="s">
        <v>9</v>
      </c>
      <c r="B369" s="1" t="s">
        <v>31</v>
      </c>
      <c r="C369" s="1">
        <v>2022</v>
      </c>
      <c r="D369" s="1" t="s">
        <v>33</v>
      </c>
      <c r="E369" s="1" t="s">
        <v>98</v>
      </c>
      <c r="F369" s="1" t="s">
        <v>99</v>
      </c>
      <c r="G369" s="1">
        <v>0</v>
      </c>
      <c r="H369" s="1" t="s">
        <v>445</v>
      </c>
      <c r="I369" s="1" t="s">
        <v>1166</v>
      </c>
      <c r="J369" s="1" t="s">
        <v>1158</v>
      </c>
      <c r="K369" s="1" t="s">
        <v>1167</v>
      </c>
      <c r="L369" s="1" t="s">
        <v>136</v>
      </c>
      <c r="M369" s="1" t="s">
        <v>51</v>
      </c>
      <c r="N369" s="1"/>
      <c r="O369" s="1">
        <f t="shared" si="5"/>
        <v>0</v>
      </c>
      <c r="P369" s="1" t="s">
        <v>448</v>
      </c>
    </row>
    <row r="370" spans="1:16" ht="69.25" customHeight="1">
      <c r="A370" s="1" t="s">
        <v>9</v>
      </c>
      <c r="B370" s="1" t="s">
        <v>31</v>
      </c>
      <c r="C370" s="1">
        <v>2022</v>
      </c>
      <c r="D370" s="1" t="s">
        <v>33</v>
      </c>
      <c r="E370" s="1" t="s">
        <v>102</v>
      </c>
      <c r="F370" s="1" t="s">
        <v>103</v>
      </c>
      <c r="G370" s="1">
        <v>0</v>
      </c>
      <c r="H370" s="1" t="s">
        <v>434</v>
      </c>
      <c r="I370" s="1" t="s">
        <v>1159</v>
      </c>
      <c r="J370" s="1" t="s">
        <v>1158</v>
      </c>
      <c r="K370" s="1" t="s">
        <v>883</v>
      </c>
      <c r="L370" s="1" t="s">
        <v>136</v>
      </c>
      <c r="M370" s="1" t="s">
        <v>51</v>
      </c>
      <c r="N370" s="1"/>
      <c r="O370" s="1">
        <f t="shared" si="5"/>
        <v>0</v>
      </c>
      <c r="P370" s="1" t="s">
        <v>452</v>
      </c>
    </row>
    <row r="371" spans="1:16" ht="69.25" customHeight="1">
      <c r="A371" s="1" t="s">
        <v>9</v>
      </c>
      <c r="B371" s="1" t="s">
        <v>31</v>
      </c>
      <c r="C371" s="1">
        <v>2022</v>
      </c>
      <c r="D371" s="1" t="s">
        <v>33</v>
      </c>
      <c r="E371" s="1" t="s">
        <v>106</v>
      </c>
      <c r="F371" s="1" t="s">
        <v>107</v>
      </c>
      <c r="G371" s="1">
        <v>0</v>
      </c>
      <c r="H371" s="1" t="s">
        <v>434</v>
      </c>
      <c r="I371" s="1" t="s">
        <v>1168</v>
      </c>
      <c r="J371" s="1" t="s">
        <v>1158</v>
      </c>
      <c r="K371" s="1" t="s">
        <v>879</v>
      </c>
      <c r="L371" s="1" t="s">
        <v>136</v>
      </c>
      <c r="M371" s="1" t="s">
        <v>51</v>
      </c>
      <c r="N371" s="1"/>
      <c r="O371" s="1">
        <f t="shared" si="5"/>
        <v>0</v>
      </c>
      <c r="P371" s="1" t="s">
        <v>454</v>
      </c>
    </row>
    <row r="372" spans="1:16" ht="69.25" customHeight="1">
      <c r="A372" s="1" t="s">
        <v>9</v>
      </c>
      <c r="B372" s="1" t="s">
        <v>31</v>
      </c>
      <c r="C372" s="1">
        <v>2023</v>
      </c>
      <c r="D372" s="1" t="s">
        <v>33</v>
      </c>
      <c r="E372" s="1" t="s">
        <v>70</v>
      </c>
      <c r="F372" s="1" t="s">
        <v>71</v>
      </c>
      <c r="G372" s="1">
        <v>1</v>
      </c>
      <c r="H372" s="1" t="s">
        <v>429</v>
      </c>
      <c r="I372" s="1" t="s">
        <v>1169</v>
      </c>
      <c r="J372" s="1" t="s">
        <v>1170</v>
      </c>
      <c r="K372" s="1" t="s">
        <v>555</v>
      </c>
      <c r="L372" s="1" t="s">
        <v>136</v>
      </c>
      <c r="M372" s="1" t="s">
        <v>51</v>
      </c>
      <c r="N372" s="1"/>
      <c r="O372" s="1">
        <f t="shared" si="5"/>
        <v>1</v>
      </c>
      <c r="P372" s="1" t="s">
        <v>433</v>
      </c>
    </row>
    <row r="373" spans="1:16" ht="69.25" customHeight="1">
      <c r="A373" s="1" t="s">
        <v>9</v>
      </c>
      <c r="B373" s="1" t="s">
        <v>31</v>
      </c>
      <c r="C373" s="1">
        <v>2023</v>
      </c>
      <c r="D373" s="1" t="s">
        <v>33</v>
      </c>
      <c r="E373" s="1" t="s">
        <v>74</v>
      </c>
      <c r="F373" s="1" t="s">
        <v>75</v>
      </c>
      <c r="G373" s="1">
        <v>0</v>
      </c>
      <c r="H373" s="1" t="s">
        <v>434</v>
      </c>
      <c r="I373" s="1" t="s">
        <v>1171</v>
      </c>
      <c r="J373" s="1" t="s">
        <v>1170</v>
      </c>
      <c r="K373" s="1" t="s">
        <v>1172</v>
      </c>
      <c r="L373" s="1" t="s">
        <v>136</v>
      </c>
      <c r="M373" s="1" t="s">
        <v>51</v>
      </c>
      <c r="N373" s="1"/>
      <c r="O373" s="1">
        <f t="shared" si="5"/>
        <v>0</v>
      </c>
      <c r="P373" s="1" t="s">
        <v>437</v>
      </c>
    </row>
    <row r="374" spans="1:16" ht="69.25" customHeight="1">
      <c r="A374" s="1" t="s">
        <v>9</v>
      </c>
      <c r="B374" s="1" t="s">
        <v>31</v>
      </c>
      <c r="C374" s="1">
        <v>2023</v>
      </c>
      <c r="D374" s="1" t="s">
        <v>33</v>
      </c>
      <c r="E374" s="1" t="s">
        <v>78</v>
      </c>
      <c r="F374" s="1" t="s">
        <v>79</v>
      </c>
      <c r="G374" s="1">
        <v>0</v>
      </c>
      <c r="H374" s="1" t="s">
        <v>434</v>
      </c>
      <c r="I374" s="1" t="s">
        <v>1173</v>
      </c>
      <c r="J374" s="1" t="s">
        <v>1170</v>
      </c>
      <c r="K374" s="1" t="s">
        <v>1174</v>
      </c>
      <c r="L374" s="1" t="s">
        <v>136</v>
      </c>
      <c r="M374" s="1" t="s">
        <v>51</v>
      </c>
      <c r="N374" s="1"/>
      <c r="O374" s="1">
        <f t="shared" si="5"/>
        <v>0</v>
      </c>
      <c r="P374" s="1" t="s">
        <v>439</v>
      </c>
    </row>
    <row r="375" spans="1:16" ht="69.25" customHeight="1">
      <c r="A375" s="1" t="s">
        <v>9</v>
      </c>
      <c r="B375" s="1" t="s">
        <v>31</v>
      </c>
      <c r="C375" s="1">
        <v>2023</v>
      </c>
      <c r="D375" s="1" t="s">
        <v>33</v>
      </c>
      <c r="E375" s="1" t="s">
        <v>82</v>
      </c>
      <c r="F375" s="1" t="s">
        <v>83</v>
      </c>
      <c r="G375" s="1">
        <v>0</v>
      </c>
      <c r="H375" s="1" t="s">
        <v>434</v>
      </c>
      <c r="I375" s="1" t="s">
        <v>440</v>
      </c>
      <c r="J375" s="1" t="s">
        <v>1175</v>
      </c>
      <c r="K375" s="1"/>
      <c r="L375" s="1" t="s">
        <v>136</v>
      </c>
      <c r="M375" s="1" t="s">
        <v>51</v>
      </c>
      <c r="N375" s="1"/>
      <c r="O375" s="1">
        <f t="shared" si="5"/>
        <v>0</v>
      </c>
      <c r="P375" s="1" t="s">
        <v>441</v>
      </c>
    </row>
    <row r="376" spans="1:16" ht="69.25" customHeight="1">
      <c r="A376" s="1" t="s">
        <v>9</v>
      </c>
      <c r="B376" s="1" t="s">
        <v>31</v>
      </c>
      <c r="C376" s="1">
        <v>2023</v>
      </c>
      <c r="D376" s="1" t="s">
        <v>33</v>
      </c>
      <c r="E376" s="1" t="s">
        <v>86</v>
      </c>
      <c r="F376" s="1" t="s">
        <v>87</v>
      </c>
      <c r="G376" s="1">
        <v>1</v>
      </c>
      <c r="H376" s="1" t="s">
        <v>429</v>
      </c>
      <c r="I376" s="1" t="s">
        <v>1176</v>
      </c>
      <c r="J376" s="1" t="s">
        <v>1170</v>
      </c>
      <c r="K376" s="1" t="s">
        <v>774</v>
      </c>
      <c r="L376" s="1" t="s">
        <v>136</v>
      </c>
      <c r="M376" s="1" t="s">
        <v>51</v>
      </c>
      <c r="N376" s="1"/>
      <c r="O376" s="1">
        <f t="shared" si="5"/>
        <v>1</v>
      </c>
      <c r="P376" s="1" t="s">
        <v>467</v>
      </c>
    </row>
    <row r="377" spans="1:16" ht="69.25" customHeight="1">
      <c r="A377" s="1" t="s">
        <v>9</v>
      </c>
      <c r="B377" s="1" t="s">
        <v>31</v>
      </c>
      <c r="C377" s="1">
        <v>2023</v>
      </c>
      <c r="D377" s="1" t="s">
        <v>33</v>
      </c>
      <c r="E377" s="1" t="s">
        <v>90</v>
      </c>
      <c r="F377" s="1" t="s">
        <v>91</v>
      </c>
      <c r="G377" s="1">
        <v>0</v>
      </c>
      <c r="H377" s="1" t="s">
        <v>434</v>
      </c>
      <c r="I377" s="1" t="s">
        <v>1177</v>
      </c>
      <c r="J377" s="1" t="s">
        <v>1170</v>
      </c>
      <c r="K377" s="1" t="s">
        <v>1178</v>
      </c>
      <c r="L377" s="1" t="s">
        <v>136</v>
      </c>
      <c r="M377" s="1" t="s">
        <v>51</v>
      </c>
      <c r="N377" s="1"/>
      <c r="O377" s="1">
        <f t="shared" si="5"/>
        <v>0</v>
      </c>
      <c r="P377" s="1" t="s">
        <v>444</v>
      </c>
    </row>
    <row r="378" spans="1:16" ht="69.25" customHeight="1">
      <c r="A378" s="1" t="s">
        <v>9</v>
      </c>
      <c r="B378" s="1" t="s">
        <v>31</v>
      </c>
      <c r="C378" s="1">
        <v>2023</v>
      </c>
      <c r="D378" s="1" t="s">
        <v>33</v>
      </c>
      <c r="E378" s="1" t="s">
        <v>94</v>
      </c>
      <c r="F378" s="1" t="s">
        <v>95</v>
      </c>
      <c r="G378" s="1">
        <v>0</v>
      </c>
      <c r="H378" s="1" t="s">
        <v>445</v>
      </c>
      <c r="I378" s="1" t="s">
        <v>1179</v>
      </c>
      <c r="J378" s="1" t="s">
        <v>1170</v>
      </c>
      <c r="K378" s="1" t="s">
        <v>1180</v>
      </c>
      <c r="L378" s="1" t="s">
        <v>136</v>
      </c>
      <c r="M378" s="1" t="s">
        <v>51</v>
      </c>
      <c r="N378" s="1"/>
      <c r="O378" s="1">
        <f t="shared" si="5"/>
        <v>0</v>
      </c>
      <c r="P378" s="1" t="s">
        <v>448</v>
      </c>
    </row>
    <row r="379" spans="1:16" ht="69.25" customHeight="1">
      <c r="A379" s="1" t="s">
        <v>9</v>
      </c>
      <c r="B379" s="1" t="s">
        <v>31</v>
      </c>
      <c r="C379" s="1">
        <v>2023</v>
      </c>
      <c r="D379" s="1" t="s">
        <v>33</v>
      </c>
      <c r="E379" s="1" t="s">
        <v>98</v>
      </c>
      <c r="F379" s="1" t="s">
        <v>99</v>
      </c>
      <c r="G379" s="1">
        <v>1</v>
      </c>
      <c r="H379" s="1" t="s">
        <v>429</v>
      </c>
      <c r="I379" s="1" t="s">
        <v>1181</v>
      </c>
      <c r="J379" s="1" t="s">
        <v>1170</v>
      </c>
      <c r="K379" s="1" t="s">
        <v>1182</v>
      </c>
      <c r="L379" s="1" t="s">
        <v>136</v>
      </c>
      <c r="M379" s="1" t="s">
        <v>51</v>
      </c>
      <c r="N379" s="1"/>
      <c r="O379" s="1">
        <f t="shared" si="5"/>
        <v>1</v>
      </c>
      <c r="P379" s="1" t="s">
        <v>451</v>
      </c>
    </row>
    <row r="380" spans="1:16" ht="69.25" customHeight="1">
      <c r="A380" s="1" t="s">
        <v>9</v>
      </c>
      <c r="B380" s="1" t="s">
        <v>31</v>
      </c>
      <c r="C380" s="1">
        <v>2023</v>
      </c>
      <c r="D380" s="1" t="s">
        <v>33</v>
      </c>
      <c r="E380" s="1" t="s">
        <v>102</v>
      </c>
      <c r="F380" s="1" t="s">
        <v>103</v>
      </c>
      <c r="G380" s="1">
        <v>0</v>
      </c>
      <c r="H380" s="1" t="s">
        <v>434</v>
      </c>
      <c r="I380" s="1" t="s">
        <v>1171</v>
      </c>
      <c r="J380" s="1" t="s">
        <v>1170</v>
      </c>
      <c r="K380" s="1" t="s">
        <v>1172</v>
      </c>
      <c r="L380" s="1" t="s">
        <v>136</v>
      </c>
      <c r="M380" s="1" t="s">
        <v>51</v>
      </c>
      <c r="N380" s="1"/>
      <c r="O380" s="1">
        <f t="shared" si="5"/>
        <v>0</v>
      </c>
      <c r="P380" s="1" t="s">
        <v>452</v>
      </c>
    </row>
    <row r="381" spans="1:16" ht="69.25" customHeight="1">
      <c r="A381" s="1" t="s">
        <v>9</v>
      </c>
      <c r="B381" s="1" t="s">
        <v>31</v>
      </c>
      <c r="C381" s="1">
        <v>2023</v>
      </c>
      <c r="D381" s="1" t="s">
        <v>33</v>
      </c>
      <c r="E381" s="1" t="s">
        <v>106</v>
      </c>
      <c r="F381" s="1" t="s">
        <v>107</v>
      </c>
      <c r="G381" s="1">
        <v>0</v>
      </c>
      <c r="H381" s="1" t="s">
        <v>434</v>
      </c>
      <c r="I381" s="1" t="s">
        <v>1183</v>
      </c>
      <c r="J381" s="1" t="s">
        <v>1170</v>
      </c>
      <c r="K381" s="1" t="s">
        <v>1184</v>
      </c>
      <c r="L381" s="1" t="s">
        <v>136</v>
      </c>
      <c r="M381" s="1" t="s">
        <v>51</v>
      </c>
      <c r="N381" s="1"/>
      <c r="O381" s="1">
        <f t="shared" si="5"/>
        <v>0</v>
      </c>
      <c r="P381" s="1" t="s">
        <v>454</v>
      </c>
    </row>
    <row r="382" spans="1:16" ht="69.25" customHeight="1">
      <c r="A382" s="1" t="s">
        <v>9</v>
      </c>
      <c r="B382" s="1" t="s">
        <v>31</v>
      </c>
      <c r="C382" s="1">
        <v>2024</v>
      </c>
      <c r="D382" s="1" t="s">
        <v>33</v>
      </c>
      <c r="E382" s="1" t="s">
        <v>70</v>
      </c>
      <c r="F382" s="1" t="s">
        <v>71</v>
      </c>
      <c r="G382" s="1">
        <v>0</v>
      </c>
      <c r="H382" s="1" t="s">
        <v>1185</v>
      </c>
      <c r="I382" s="1" t="s">
        <v>1186</v>
      </c>
      <c r="J382" s="1" t="s">
        <v>1187</v>
      </c>
      <c r="K382" s="1" t="s">
        <v>1188</v>
      </c>
      <c r="L382" s="1" t="s">
        <v>1189</v>
      </c>
      <c r="M382" s="1" t="s">
        <v>51</v>
      </c>
      <c r="N382" s="1"/>
      <c r="O382" s="1">
        <f t="shared" si="5"/>
        <v>0</v>
      </c>
      <c r="P382" s="1" t="s">
        <v>1190</v>
      </c>
    </row>
    <row r="383" spans="1:16" ht="69.25" customHeight="1">
      <c r="A383" s="1" t="s">
        <v>9</v>
      </c>
      <c r="B383" s="1" t="s">
        <v>31</v>
      </c>
      <c r="C383" s="1">
        <v>2024</v>
      </c>
      <c r="D383" s="1" t="s">
        <v>33</v>
      </c>
      <c r="E383" s="1" t="s">
        <v>74</v>
      </c>
      <c r="F383" s="1" t="s">
        <v>75</v>
      </c>
      <c r="G383" s="1">
        <v>1</v>
      </c>
      <c r="H383" s="1" t="s">
        <v>478</v>
      </c>
      <c r="I383" s="1" t="s">
        <v>1191</v>
      </c>
      <c r="J383" s="1" t="s">
        <v>1187</v>
      </c>
      <c r="K383" s="1" t="s">
        <v>1192</v>
      </c>
      <c r="L383" s="1" t="s">
        <v>1189</v>
      </c>
      <c r="M383" s="1" t="s">
        <v>51</v>
      </c>
      <c r="N383" s="1"/>
      <c r="O383" s="1">
        <f t="shared" si="5"/>
        <v>1</v>
      </c>
      <c r="P383" s="1" t="s">
        <v>1193</v>
      </c>
    </row>
    <row r="384" spans="1:16" ht="69.25" customHeight="1">
      <c r="A384" s="1" t="s">
        <v>9</v>
      </c>
      <c r="B384" s="1" t="s">
        <v>31</v>
      </c>
      <c r="C384" s="1">
        <v>2024</v>
      </c>
      <c r="D384" s="1" t="s">
        <v>33</v>
      </c>
      <c r="E384" s="1" t="s">
        <v>78</v>
      </c>
      <c r="F384" s="1" t="s">
        <v>79</v>
      </c>
      <c r="G384" s="1">
        <v>0</v>
      </c>
      <c r="H384" s="1" t="s">
        <v>486</v>
      </c>
      <c r="I384" s="1" t="s">
        <v>1194</v>
      </c>
      <c r="J384" s="1" t="s">
        <v>1195</v>
      </c>
      <c r="K384" s="1" t="s">
        <v>1196</v>
      </c>
      <c r="L384" s="1" t="s">
        <v>490</v>
      </c>
      <c r="M384" s="1" t="s">
        <v>51</v>
      </c>
      <c r="N384" s="1"/>
      <c r="O384" s="1">
        <f t="shared" si="5"/>
        <v>0</v>
      </c>
      <c r="P384" s="1" t="s">
        <v>1197</v>
      </c>
    </row>
    <row r="385" spans="1:16" ht="69.25" customHeight="1">
      <c r="A385" s="1" t="s">
        <v>9</v>
      </c>
      <c r="B385" s="1" t="s">
        <v>31</v>
      </c>
      <c r="C385" s="1">
        <v>2024</v>
      </c>
      <c r="D385" s="1" t="s">
        <v>33</v>
      </c>
      <c r="E385" s="1" t="s">
        <v>82</v>
      </c>
      <c r="F385" s="1" t="s">
        <v>83</v>
      </c>
      <c r="G385" s="1">
        <v>1</v>
      </c>
      <c r="H385" s="1" t="s">
        <v>478</v>
      </c>
      <c r="I385" s="1" t="s">
        <v>1198</v>
      </c>
      <c r="J385" s="1" t="s">
        <v>1187</v>
      </c>
      <c r="K385" s="1" t="s">
        <v>1199</v>
      </c>
      <c r="L385" s="1" t="s">
        <v>1189</v>
      </c>
      <c r="M385" s="1" t="s">
        <v>51</v>
      </c>
      <c r="N385" s="1"/>
      <c r="O385" s="1">
        <f t="shared" si="5"/>
        <v>1</v>
      </c>
      <c r="P385" s="1" t="s">
        <v>578</v>
      </c>
    </row>
    <row r="386" spans="1:16" ht="69.25" customHeight="1">
      <c r="A386" s="1" t="s">
        <v>9</v>
      </c>
      <c r="B386" s="1" t="s">
        <v>31</v>
      </c>
      <c r="C386" s="1">
        <v>2024</v>
      </c>
      <c r="D386" s="1" t="s">
        <v>33</v>
      </c>
      <c r="E386" s="1" t="s">
        <v>86</v>
      </c>
      <c r="F386" s="1" t="s">
        <v>87</v>
      </c>
      <c r="G386" s="1">
        <v>1</v>
      </c>
      <c r="H386" s="1" t="s">
        <v>478</v>
      </c>
      <c r="I386" s="1" t="s">
        <v>1200</v>
      </c>
      <c r="J386" s="1" t="s">
        <v>1187</v>
      </c>
      <c r="K386" s="1" t="s">
        <v>1199</v>
      </c>
      <c r="L386" s="1" t="s">
        <v>1189</v>
      </c>
      <c r="M386" s="1" t="s">
        <v>51</v>
      </c>
      <c r="N386" s="1"/>
      <c r="O386" s="1">
        <f t="shared" ref="O386:O449" si="6">IF(N386&lt;&gt;"",N386,G386)</f>
        <v>1</v>
      </c>
      <c r="P386" s="1" t="s">
        <v>1201</v>
      </c>
    </row>
    <row r="387" spans="1:16" ht="69.25" customHeight="1">
      <c r="A387" s="1" t="s">
        <v>9</v>
      </c>
      <c r="B387" s="1" t="s">
        <v>31</v>
      </c>
      <c r="C387" s="1">
        <v>2024</v>
      </c>
      <c r="D387" s="1" t="s">
        <v>33</v>
      </c>
      <c r="E387" s="1" t="s">
        <v>90</v>
      </c>
      <c r="F387" s="1" t="s">
        <v>91</v>
      </c>
      <c r="G387" s="1">
        <v>1</v>
      </c>
      <c r="H387" s="1" t="s">
        <v>478</v>
      </c>
      <c r="I387" s="1" t="s">
        <v>1202</v>
      </c>
      <c r="J387" s="1" t="s">
        <v>1187</v>
      </c>
      <c r="K387" s="1" t="s">
        <v>1199</v>
      </c>
      <c r="L387" s="1" t="s">
        <v>1189</v>
      </c>
      <c r="M387" s="1" t="s">
        <v>51</v>
      </c>
      <c r="N387" s="1"/>
      <c r="O387" s="1">
        <f t="shared" si="6"/>
        <v>1</v>
      </c>
      <c r="P387" s="1" t="s">
        <v>1203</v>
      </c>
    </row>
    <row r="388" spans="1:16" ht="69.25" customHeight="1">
      <c r="A388" s="1" t="s">
        <v>9</v>
      </c>
      <c r="B388" s="1" t="s">
        <v>31</v>
      </c>
      <c r="C388" s="1">
        <v>2024</v>
      </c>
      <c r="D388" s="1" t="s">
        <v>33</v>
      </c>
      <c r="E388" s="1" t="s">
        <v>94</v>
      </c>
      <c r="F388" s="1" t="s">
        <v>95</v>
      </c>
      <c r="G388" s="1">
        <v>1</v>
      </c>
      <c r="H388" s="1" t="s">
        <v>478</v>
      </c>
      <c r="I388" s="1" t="s">
        <v>1204</v>
      </c>
      <c r="J388" s="1" t="s">
        <v>1187</v>
      </c>
      <c r="K388" s="1" t="s">
        <v>1205</v>
      </c>
      <c r="L388" s="1" t="s">
        <v>1189</v>
      </c>
      <c r="M388" s="1" t="s">
        <v>51</v>
      </c>
      <c r="N388" s="1"/>
      <c r="O388" s="1">
        <f t="shared" si="6"/>
        <v>1</v>
      </c>
      <c r="P388" s="1" t="s">
        <v>1206</v>
      </c>
    </row>
    <row r="389" spans="1:16" ht="69.25" customHeight="1">
      <c r="A389" s="1" t="s">
        <v>9</v>
      </c>
      <c r="B389" s="1" t="s">
        <v>31</v>
      </c>
      <c r="C389" s="1">
        <v>2024</v>
      </c>
      <c r="D389" s="1" t="s">
        <v>33</v>
      </c>
      <c r="E389" s="1" t="s">
        <v>98</v>
      </c>
      <c r="F389" s="1" t="s">
        <v>99</v>
      </c>
      <c r="G389" s="1">
        <v>1</v>
      </c>
      <c r="H389" s="1" t="s">
        <v>478</v>
      </c>
      <c r="I389" s="1" t="s">
        <v>1207</v>
      </c>
      <c r="J389" s="1" t="s">
        <v>1208</v>
      </c>
      <c r="K389" s="1" t="s">
        <v>1209</v>
      </c>
      <c r="L389" s="1" t="s">
        <v>1210</v>
      </c>
      <c r="M389" s="1" t="s">
        <v>51</v>
      </c>
      <c r="N389" s="1"/>
      <c r="O389" s="1">
        <f t="shared" si="6"/>
        <v>1</v>
      </c>
      <c r="P389" s="1" t="s">
        <v>832</v>
      </c>
    </row>
    <row r="390" spans="1:16" ht="69.25" customHeight="1">
      <c r="A390" s="1" t="s">
        <v>9</v>
      </c>
      <c r="B390" s="1" t="s">
        <v>31</v>
      </c>
      <c r="C390" s="1">
        <v>2024</v>
      </c>
      <c r="D390" s="1" t="s">
        <v>33</v>
      </c>
      <c r="E390" s="1" t="s">
        <v>102</v>
      </c>
      <c r="F390" s="1" t="s">
        <v>103</v>
      </c>
      <c r="G390" s="1">
        <v>0</v>
      </c>
      <c r="H390" s="1" t="s">
        <v>1185</v>
      </c>
      <c r="I390" s="1" t="s">
        <v>1211</v>
      </c>
      <c r="J390" s="1" t="s">
        <v>1187</v>
      </c>
      <c r="K390" s="1" t="s">
        <v>1192</v>
      </c>
      <c r="L390" s="1" t="s">
        <v>1189</v>
      </c>
      <c r="M390" s="1" t="s">
        <v>51</v>
      </c>
      <c r="N390" s="1"/>
      <c r="O390" s="1">
        <f t="shared" si="6"/>
        <v>0</v>
      </c>
      <c r="P390" s="1" t="s">
        <v>1212</v>
      </c>
    </row>
    <row r="391" spans="1:16" ht="69.25" customHeight="1">
      <c r="A391" s="1" t="s">
        <v>9</v>
      </c>
      <c r="B391" s="1" t="s">
        <v>31</v>
      </c>
      <c r="C391" s="1">
        <v>2024</v>
      </c>
      <c r="D391" s="1" t="s">
        <v>33</v>
      </c>
      <c r="E391" s="1" t="s">
        <v>106</v>
      </c>
      <c r="F391" s="1" t="s">
        <v>107</v>
      </c>
      <c r="G391" s="1">
        <v>1</v>
      </c>
      <c r="H391" s="1" t="s">
        <v>478</v>
      </c>
      <c r="I391" s="1" t="s">
        <v>1213</v>
      </c>
      <c r="J391" s="1" t="s">
        <v>1187</v>
      </c>
      <c r="K391" s="1" t="s">
        <v>1199</v>
      </c>
      <c r="L391" s="1" t="s">
        <v>1189</v>
      </c>
      <c r="M391" s="1" t="s">
        <v>51</v>
      </c>
      <c r="N391" s="1"/>
      <c r="O391" s="1">
        <f t="shared" si="6"/>
        <v>1</v>
      </c>
      <c r="P391" s="1" t="s">
        <v>1214</v>
      </c>
    </row>
    <row r="392" spans="1:16" ht="69.25" customHeight="1">
      <c r="A392" s="1" t="s">
        <v>9</v>
      </c>
      <c r="B392" s="1" t="s">
        <v>31</v>
      </c>
      <c r="C392" s="1">
        <v>2025</v>
      </c>
      <c r="D392" s="1" t="s">
        <v>33</v>
      </c>
      <c r="E392" s="1" t="s">
        <v>70</v>
      </c>
      <c r="F392" s="1" t="s">
        <v>71</v>
      </c>
      <c r="G392" s="1">
        <v>1</v>
      </c>
      <c r="H392" s="1" t="s">
        <v>429</v>
      </c>
      <c r="I392" s="1" t="s">
        <v>1215</v>
      </c>
      <c r="J392" s="1" t="s">
        <v>1216</v>
      </c>
      <c r="K392" s="1" t="s">
        <v>1217</v>
      </c>
      <c r="L392" s="1" t="s">
        <v>136</v>
      </c>
      <c r="M392" s="1" t="s">
        <v>51</v>
      </c>
      <c r="N392" s="1"/>
      <c r="O392" s="1">
        <f t="shared" si="6"/>
        <v>1</v>
      </c>
      <c r="P392" s="1" t="s">
        <v>433</v>
      </c>
    </row>
    <row r="393" spans="1:16" ht="69.25" customHeight="1">
      <c r="A393" s="1" t="s">
        <v>9</v>
      </c>
      <c r="B393" s="1" t="s">
        <v>31</v>
      </c>
      <c r="C393" s="1">
        <v>2025</v>
      </c>
      <c r="D393" s="1" t="s">
        <v>33</v>
      </c>
      <c r="E393" s="1" t="s">
        <v>74</v>
      </c>
      <c r="F393" s="1" t="s">
        <v>75</v>
      </c>
      <c r="G393" s="1">
        <v>0</v>
      </c>
      <c r="H393" s="1" t="s">
        <v>434</v>
      </c>
      <c r="I393" s="1" t="s">
        <v>1218</v>
      </c>
      <c r="J393" s="1" t="s">
        <v>1216</v>
      </c>
      <c r="K393" s="1" t="s">
        <v>1163</v>
      </c>
      <c r="L393" s="1" t="s">
        <v>136</v>
      </c>
      <c r="M393" s="1" t="s">
        <v>51</v>
      </c>
      <c r="N393" s="1"/>
      <c r="O393" s="1">
        <f t="shared" si="6"/>
        <v>0</v>
      </c>
      <c r="P393" s="1" t="s">
        <v>437</v>
      </c>
    </row>
    <row r="394" spans="1:16" ht="69.25" customHeight="1">
      <c r="A394" s="1" t="s">
        <v>9</v>
      </c>
      <c r="B394" s="1" t="s">
        <v>31</v>
      </c>
      <c r="C394" s="1">
        <v>2025</v>
      </c>
      <c r="D394" s="1" t="s">
        <v>33</v>
      </c>
      <c r="E394" s="1" t="s">
        <v>78</v>
      </c>
      <c r="F394" s="1" t="s">
        <v>79</v>
      </c>
      <c r="G394" s="1">
        <v>0</v>
      </c>
      <c r="H394" s="1" t="s">
        <v>434</v>
      </c>
      <c r="I394" s="1" t="s">
        <v>1219</v>
      </c>
      <c r="J394" s="1" t="s">
        <v>1216</v>
      </c>
      <c r="K394" s="1" t="s">
        <v>1006</v>
      </c>
      <c r="L394" s="1" t="s">
        <v>136</v>
      </c>
      <c r="M394" s="1" t="s">
        <v>51</v>
      </c>
      <c r="N394" s="1"/>
      <c r="O394" s="1">
        <f t="shared" si="6"/>
        <v>0</v>
      </c>
      <c r="P394" s="1" t="s">
        <v>439</v>
      </c>
    </row>
    <row r="395" spans="1:16" ht="69.25" customHeight="1">
      <c r="A395" s="1" t="s">
        <v>9</v>
      </c>
      <c r="B395" s="1" t="s">
        <v>31</v>
      </c>
      <c r="C395" s="1">
        <v>2025</v>
      </c>
      <c r="D395" s="1" t="s">
        <v>33</v>
      </c>
      <c r="E395" s="1" t="s">
        <v>82</v>
      </c>
      <c r="F395" s="1" t="s">
        <v>83</v>
      </c>
      <c r="G395" s="1">
        <v>1</v>
      </c>
      <c r="H395" s="1" t="s">
        <v>429</v>
      </c>
      <c r="I395" s="1" t="s">
        <v>1220</v>
      </c>
      <c r="J395" s="1" t="s">
        <v>1216</v>
      </c>
      <c r="K395" s="1" t="s">
        <v>1221</v>
      </c>
      <c r="L395" s="1" t="s">
        <v>136</v>
      </c>
      <c r="M395" s="1" t="s">
        <v>51</v>
      </c>
      <c r="N395" s="1"/>
      <c r="O395" s="1">
        <f t="shared" si="6"/>
        <v>1</v>
      </c>
      <c r="P395" s="1" t="s">
        <v>465</v>
      </c>
    </row>
    <row r="396" spans="1:16" ht="69.25" customHeight="1">
      <c r="A396" s="1" t="s">
        <v>9</v>
      </c>
      <c r="B396" s="1" t="s">
        <v>31</v>
      </c>
      <c r="C396" s="1">
        <v>2025</v>
      </c>
      <c r="D396" s="1" t="s">
        <v>33</v>
      </c>
      <c r="E396" s="1" t="s">
        <v>86</v>
      </c>
      <c r="F396" s="1" t="s">
        <v>87</v>
      </c>
      <c r="G396" s="1">
        <v>1</v>
      </c>
      <c r="H396" s="1" t="s">
        <v>429</v>
      </c>
      <c r="I396" s="1" t="s">
        <v>1222</v>
      </c>
      <c r="J396" s="1" t="s">
        <v>1216</v>
      </c>
      <c r="K396" s="1" t="s">
        <v>1015</v>
      </c>
      <c r="L396" s="1" t="s">
        <v>136</v>
      </c>
      <c r="M396" s="1" t="s">
        <v>51</v>
      </c>
      <c r="N396" s="1"/>
      <c r="O396" s="1">
        <f t="shared" si="6"/>
        <v>1</v>
      </c>
      <c r="P396" s="1" t="s">
        <v>467</v>
      </c>
    </row>
    <row r="397" spans="1:16" ht="69.25" customHeight="1">
      <c r="A397" s="1" t="s">
        <v>9</v>
      </c>
      <c r="B397" s="1" t="s">
        <v>31</v>
      </c>
      <c r="C397" s="1">
        <v>2025</v>
      </c>
      <c r="D397" s="1" t="s">
        <v>33</v>
      </c>
      <c r="E397" s="1" t="s">
        <v>90</v>
      </c>
      <c r="F397" s="1" t="s">
        <v>91</v>
      </c>
      <c r="G397" s="1">
        <v>0</v>
      </c>
      <c r="H397" s="1" t="s">
        <v>434</v>
      </c>
      <c r="I397" s="1" t="s">
        <v>1223</v>
      </c>
      <c r="J397" s="1" t="s">
        <v>1216</v>
      </c>
      <c r="K397" s="1" t="s">
        <v>535</v>
      </c>
      <c r="L397" s="1" t="s">
        <v>136</v>
      </c>
      <c r="M397" s="1" t="s">
        <v>51</v>
      </c>
      <c r="N397" s="1"/>
      <c r="O397" s="1">
        <f t="shared" si="6"/>
        <v>0</v>
      </c>
      <c r="P397" s="1" t="s">
        <v>444</v>
      </c>
    </row>
    <row r="398" spans="1:16" ht="69.25" customHeight="1">
      <c r="A398" s="1" t="s">
        <v>9</v>
      </c>
      <c r="B398" s="1" t="s">
        <v>31</v>
      </c>
      <c r="C398" s="1">
        <v>2025</v>
      </c>
      <c r="D398" s="1" t="s">
        <v>33</v>
      </c>
      <c r="E398" s="1" t="s">
        <v>94</v>
      </c>
      <c r="F398" s="1" t="s">
        <v>95</v>
      </c>
      <c r="G398" s="1">
        <v>0</v>
      </c>
      <c r="H398" s="1" t="s">
        <v>445</v>
      </c>
      <c r="I398" s="1" t="s">
        <v>1224</v>
      </c>
      <c r="J398" s="1" t="s">
        <v>1216</v>
      </c>
      <c r="K398" s="1" t="s">
        <v>1006</v>
      </c>
      <c r="L398" s="1" t="s">
        <v>136</v>
      </c>
      <c r="M398" s="1" t="s">
        <v>51</v>
      </c>
      <c r="N398" s="1"/>
      <c r="O398" s="1">
        <f t="shared" si="6"/>
        <v>0</v>
      </c>
      <c r="P398" s="1" t="s">
        <v>448</v>
      </c>
    </row>
    <row r="399" spans="1:16" ht="69.25" customHeight="1">
      <c r="A399" s="1" t="s">
        <v>9</v>
      </c>
      <c r="B399" s="1" t="s">
        <v>31</v>
      </c>
      <c r="C399" s="1">
        <v>2025</v>
      </c>
      <c r="D399" s="1" t="s">
        <v>33</v>
      </c>
      <c r="E399" s="1" t="s">
        <v>98</v>
      </c>
      <c r="F399" s="1" t="s">
        <v>99</v>
      </c>
      <c r="G399" s="1">
        <v>0</v>
      </c>
      <c r="H399" s="1" t="s">
        <v>434</v>
      </c>
      <c r="I399" s="1" t="s">
        <v>1225</v>
      </c>
      <c r="J399" s="1" t="s">
        <v>1216</v>
      </c>
      <c r="K399" s="1" t="s">
        <v>1226</v>
      </c>
      <c r="L399" s="1" t="s">
        <v>136</v>
      </c>
      <c r="M399" s="1" t="s">
        <v>51</v>
      </c>
      <c r="N399" s="1"/>
      <c r="O399" s="1">
        <f t="shared" si="6"/>
        <v>0</v>
      </c>
      <c r="P399" s="1" t="s">
        <v>472</v>
      </c>
    </row>
    <row r="400" spans="1:16" ht="69.25" customHeight="1">
      <c r="A400" s="1" t="s">
        <v>9</v>
      </c>
      <c r="B400" s="1" t="s">
        <v>31</v>
      </c>
      <c r="C400" s="1">
        <v>2025</v>
      </c>
      <c r="D400" s="1" t="s">
        <v>33</v>
      </c>
      <c r="E400" s="1" t="s">
        <v>102</v>
      </c>
      <c r="F400" s="1" t="s">
        <v>103</v>
      </c>
      <c r="G400" s="1">
        <v>0</v>
      </c>
      <c r="H400" s="1" t="s">
        <v>434</v>
      </c>
      <c r="I400" s="1" t="s">
        <v>1218</v>
      </c>
      <c r="J400" s="1" t="s">
        <v>1216</v>
      </c>
      <c r="K400" s="1" t="s">
        <v>1163</v>
      </c>
      <c r="L400" s="1" t="s">
        <v>136</v>
      </c>
      <c r="M400" s="1" t="s">
        <v>51</v>
      </c>
      <c r="N400" s="1"/>
      <c r="O400" s="1">
        <f t="shared" si="6"/>
        <v>0</v>
      </c>
      <c r="P400" s="1" t="s">
        <v>452</v>
      </c>
    </row>
    <row r="401" spans="1:16" ht="69.25" customHeight="1">
      <c r="A401" s="1" t="s">
        <v>9</v>
      </c>
      <c r="B401" s="1" t="s">
        <v>31</v>
      </c>
      <c r="C401" s="1">
        <v>2025</v>
      </c>
      <c r="D401" s="1" t="s">
        <v>33</v>
      </c>
      <c r="E401" s="1" t="s">
        <v>106</v>
      </c>
      <c r="F401" s="1" t="s">
        <v>107</v>
      </c>
      <c r="G401" s="1">
        <v>0</v>
      </c>
      <c r="H401" s="1" t="s">
        <v>434</v>
      </c>
      <c r="I401" s="1" t="s">
        <v>1227</v>
      </c>
      <c r="J401" s="1" t="s">
        <v>1216</v>
      </c>
      <c r="K401" s="1" t="s">
        <v>1228</v>
      </c>
      <c r="L401" s="1" t="s">
        <v>136</v>
      </c>
      <c r="M401" s="1" t="s">
        <v>51</v>
      </c>
      <c r="N401" s="1"/>
      <c r="O401" s="1">
        <f t="shared" si="6"/>
        <v>0</v>
      </c>
      <c r="P401" s="1" t="s">
        <v>454</v>
      </c>
    </row>
    <row r="402" spans="1:16" ht="69.25" customHeight="1">
      <c r="A402" s="1" t="s">
        <v>9</v>
      </c>
      <c r="B402" s="1" t="s">
        <v>34</v>
      </c>
      <c r="C402" s="1">
        <v>2022</v>
      </c>
      <c r="D402" s="1" t="s">
        <v>8</v>
      </c>
      <c r="E402" s="1" t="s">
        <v>70</v>
      </c>
      <c r="F402" s="1" t="s">
        <v>71</v>
      </c>
      <c r="G402" s="1">
        <v>1</v>
      </c>
      <c r="H402" s="1" t="s">
        <v>429</v>
      </c>
      <c r="I402" s="1" t="s">
        <v>1229</v>
      </c>
      <c r="J402" s="1" t="s">
        <v>1230</v>
      </c>
      <c r="K402" s="1" t="s">
        <v>1231</v>
      </c>
      <c r="L402" s="1" t="s">
        <v>139</v>
      </c>
      <c r="M402" s="1" t="s">
        <v>51</v>
      </c>
      <c r="N402" s="1"/>
      <c r="O402" s="1">
        <f t="shared" si="6"/>
        <v>1</v>
      </c>
      <c r="P402" s="1" t="s">
        <v>433</v>
      </c>
    </row>
    <row r="403" spans="1:16" ht="69.25" customHeight="1">
      <c r="A403" s="1" t="s">
        <v>9</v>
      </c>
      <c r="B403" s="1" t="s">
        <v>34</v>
      </c>
      <c r="C403" s="1">
        <v>2022</v>
      </c>
      <c r="D403" s="1" t="s">
        <v>8</v>
      </c>
      <c r="E403" s="1" t="s">
        <v>74</v>
      </c>
      <c r="F403" s="1" t="s">
        <v>75</v>
      </c>
      <c r="G403" s="1">
        <v>0</v>
      </c>
      <c r="H403" s="1" t="s">
        <v>434</v>
      </c>
      <c r="I403" s="1" t="s">
        <v>1232</v>
      </c>
      <c r="J403" s="1" t="s">
        <v>1233</v>
      </c>
      <c r="K403" s="1" t="s">
        <v>1234</v>
      </c>
      <c r="L403" s="1" t="s">
        <v>139</v>
      </c>
      <c r="M403" s="1" t="s">
        <v>51</v>
      </c>
      <c r="N403" s="1"/>
      <c r="O403" s="1">
        <f t="shared" si="6"/>
        <v>0</v>
      </c>
      <c r="P403" s="1" t="s">
        <v>437</v>
      </c>
    </row>
    <row r="404" spans="1:16" ht="69.25" customHeight="1">
      <c r="A404" s="1" t="s">
        <v>9</v>
      </c>
      <c r="B404" s="1" t="s">
        <v>34</v>
      </c>
      <c r="C404" s="1">
        <v>2022</v>
      </c>
      <c r="D404" s="1" t="s">
        <v>8</v>
      </c>
      <c r="E404" s="1" t="s">
        <v>78</v>
      </c>
      <c r="F404" s="1" t="s">
        <v>79</v>
      </c>
      <c r="G404" s="1">
        <v>1</v>
      </c>
      <c r="H404" s="1" t="s">
        <v>429</v>
      </c>
      <c r="I404" s="1" t="s">
        <v>1235</v>
      </c>
      <c r="J404" s="1" t="s">
        <v>1233</v>
      </c>
      <c r="K404" s="1" t="s">
        <v>1236</v>
      </c>
      <c r="L404" s="1" t="s">
        <v>139</v>
      </c>
      <c r="M404" s="1" t="s">
        <v>51</v>
      </c>
      <c r="N404" s="1"/>
      <c r="O404" s="1">
        <f t="shared" si="6"/>
        <v>1</v>
      </c>
      <c r="P404" s="1" t="s">
        <v>915</v>
      </c>
    </row>
    <row r="405" spans="1:16" ht="69.25" customHeight="1">
      <c r="A405" s="1" t="s">
        <v>9</v>
      </c>
      <c r="B405" s="1" t="s">
        <v>34</v>
      </c>
      <c r="C405" s="1">
        <v>2022</v>
      </c>
      <c r="D405" s="1" t="s">
        <v>8</v>
      </c>
      <c r="E405" s="1" t="s">
        <v>82</v>
      </c>
      <c r="F405" s="1" t="s">
        <v>83</v>
      </c>
      <c r="G405" s="1">
        <v>1</v>
      </c>
      <c r="H405" s="1" t="s">
        <v>429</v>
      </c>
      <c r="I405" s="1" t="s">
        <v>1237</v>
      </c>
      <c r="J405" s="1" t="s">
        <v>1230</v>
      </c>
      <c r="K405" s="1" t="s">
        <v>1238</v>
      </c>
      <c r="L405" s="1" t="s">
        <v>139</v>
      </c>
      <c r="M405" s="1" t="s">
        <v>51</v>
      </c>
      <c r="N405" s="1"/>
      <c r="O405" s="1">
        <f t="shared" si="6"/>
        <v>1</v>
      </c>
      <c r="P405" s="1" t="s">
        <v>465</v>
      </c>
    </row>
    <row r="406" spans="1:16" ht="69.25" customHeight="1">
      <c r="A406" s="1" t="s">
        <v>9</v>
      </c>
      <c r="B406" s="1" t="s">
        <v>34</v>
      </c>
      <c r="C406" s="1">
        <v>2022</v>
      </c>
      <c r="D406" s="1" t="s">
        <v>8</v>
      </c>
      <c r="E406" s="1" t="s">
        <v>86</v>
      </c>
      <c r="F406" s="1" t="s">
        <v>87</v>
      </c>
      <c r="G406" s="1">
        <v>1</v>
      </c>
      <c r="H406" s="1" t="s">
        <v>429</v>
      </c>
      <c r="I406" s="1" t="s">
        <v>1239</v>
      </c>
      <c r="J406" s="1" t="s">
        <v>1230</v>
      </c>
      <c r="K406" s="1" t="s">
        <v>548</v>
      </c>
      <c r="L406" s="1" t="s">
        <v>139</v>
      </c>
      <c r="M406" s="1" t="s">
        <v>51</v>
      </c>
      <c r="N406" s="1"/>
      <c r="O406" s="1">
        <f t="shared" si="6"/>
        <v>1</v>
      </c>
      <c r="P406" s="1" t="s">
        <v>467</v>
      </c>
    </row>
    <row r="407" spans="1:16" ht="69.25" customHeight="1">
      <c r="A407" s="1" t="s">
        <v>9</v>
      </c>
      <c r="B407" s="1" t="s">
        <v>34</v>
      </c>
      <c r="C407" s="1">
        <v>2022</v>
      </c>
      <c r="D407" s="1" t="s">
        <v>8</v>
      </c>
      <c r="E407" s="1" t="s">
        <v>90</v>
      </c>
      <c r="F407" s="1" t="s">
        <v>91</v>
      </c>
      <c r="G407" s="1">
        <v>1</v>
      </c>
      <c r="H407" s="1" t="s">
        <v>429</v>
      </c>
      <c r="I407" s="1" t="s">
        <v>1237</v>
      </c>
      <c r="J407" s="1" t="s">
        <v>1230</v>
      </c>
      <c r="K407" s="1" t="s">
        <v>1238</v>
      </c>
      <c r="L407" s="1" t="s">
        <v>139</v>
      </c>
      <c r="M407" s="1" t="s">
        <v>51</v>
      </c>
      <c r="N407" s="1"/>
      <c r="O407" s="1">
        <f t="shared" si="6"/>
        <v>1</v>
      </c>
      <c r="P407" s="1" t="s">
        <v>526</v>
      </c>
    </row>
    <row r="408" spans="1:16" ht="69.25" customHeight="1">
      <c r="A408" s="1" t="s">
        <v>9</v>
      </c>
      <c r="B408" s="1" t="s">
        <v>34</v>
      </c>
      <c r="C408" s="1">
        <v>2022</v>
      </c>
      <c r="D408" s="1" t="s">
        <v>8</v>
      </c>
      <c r="E408" s="1" t="s">
        <v>94</v>
      </c>
      <c r="F408" s="1" t="s">
        <v>95</v>
      </c>
      <c r="G408" s="1">
        <v>0</v>
      </c>
      <c r="H408" s="1" t="s">
        <v>445</v>
      </c>
      <c r="I408" s="1" t="s">
        <v>1240</v>
      </c>
      <c r="J408" s="1" t="s">
        <v>1233</v>
      </c>
      <c r="K408" s="1" t="s">
        <v>1241</v>
      </c>
      <c r="L408" s="1" t="s">
        <v>139</v>
      </c>
      <c r="M408" s="1" t="s">
        <v>51</v>
      </c>
      <c r="N408" s="1"/>
      <c r="O408" s="1">
        <f t="shared" si="6"/>
        <v>0</v>
      </c>
      <c r="P408" s="1" t="s">
        <v>448</v>
      </c>
    </row>
    <row r="409" spans="1:16" ht="69.25" customHeight="1">
      <c r="A409" s="1" t="s">
        <v>9</v>
      </c>
      <c r="B409" s="1" t="s">
        <v>34</v>
      </c>
      <c r="C409" s="1">
        <v>2022</v>
      </c>
      <c r="D409" s="1" t="s">
        <v>8</v>
      </c>
      <c r="E409" s="1" t="s">
        <v>98</v>
      </c>
      <c r="F409" s="1" t="s">
        <v>99</v>
      </c>
      <c r="G409" s="1">
        <v>0</v>
      </c>
      <c r="H409" s="1" t="s">
        <v>445</v>
      </c>
      <c r="I409" s="1" t="s">
        <v>1242</v>
      </c>
      <c r="J409" s="1" t="s">
        <v>1233</v>
      </c>
      <c r="K409" s="1" t="s">
        <v>792</v>
      </c>
      <c r="L409" s="1" t="s">
        <v>139</v>
      </c>
      <c r="M409" s="1" t="s">
        <v>51</v>
      </c>
      <c r="N409" s="1"/>
      <c r="O409" s="1">
        <f t="shared" si="6"/>
        <v>0</v>
      </c>
      <c r="P409" s="1" t="s">
        <v>448</v>
      </c>
    </row>
    <row r="410" spans="1:16" ht="69.25" customHeight="1">
      <c r="A410" s="1" t="s">
        <v>9</v>
      </c>
      <c r="B410" s="1" t="s">
        <v>34</v>
      </c>
      <c r="C410" s="1">
        <v>2022</v>
      </c>
      <c r="D410" s="1" t="s">
        <v>8</v>
      </c>
      <c r="E410" s="1" t="s">
        <v>102</v>
      </c>
      <c r="F410" s="1" t="s">
        <v>103</v>
      </c>
      <c r="G410" s="1">
        <v>0</v>
      </c>
      <c r="H410" s="1" t="s">
        <v>445</v>
      </c>
      <c r="I410" s="1" t="s">
        <v>1243</v>
      </c>
      <c r="J410" s="1" t="s">
        <v>1233</v>
      </c>
      <c r="K410" s="1" t="s">
        <v>1234</v>
      </c>
      <c r="L410" s="1" t="s">
        <v>139</v>
      </c>
      <c r="M410" s="1" t="s">
        <v>51</v>
      </c>
      <c r="N410" s="1"/>
      <c r="O410" s="1">
        <f t="shared" si="6"/>
        <v>0</v>
      </c>
      <c r="P410" s="1" t="s">
        <v>448</v>
      </c>
    </row>
    <row r="411" spans="1:16" ht="69.25" customHeight="1">
      <c r="A411" s="1" t="s">
        <v>9</v>
      </c>
      <c r="B411" s="1" t="s">
        <v>34</v>
      </c>
      <c r="C411" s="1">
        <v>2022</v>
      </c>
      <c r="D411" s="1" t="s">
        <v>8</v>
      </c>
      <c r="E411" s="1" t="s">
        <v>106</v>
      </c>
      <c r="F411" s="1" t="s">
        <v>107</v>
      </c>
      <c r="G411" s="1">
        <v>1</v>
      </c>
      <c r="H411" s="1" t="s">
        <v>429</v>
      </c>
      <c r="I411" s="1" t="s">
        <v>1244</v>
      </c>
      <c r="J411" s="1" t="s">
        <v>1230</v>
      </c>
      <c r="K411" s="1" t="s">
        <v>1245</v>
      </c>
      <c r="L411" s="1" t="s">
        <v>139</v>
      </c>
      <c r="M411" s="1" t="s">
        <v>51</v>
      </c>
      <c r="N411" s="1"/>
      <c r="O411" s="1">
        <f t="shared" si="6"/>
        <v>1</v>
      </c>
      <c r="P411" s="1" t="s">
        <v>1246</v>
      </c>
    </row>
    <row r="412" spans="1:16" ht="69.25" customHeight="1">
      <c r="A412" s="1" t="s">
        <v>9</v>
      </c>
      <c r="B412" s="1" t="s">
        <v>34</v>
      </c>
      <c r="C412" s="1">
        <v>2023</v>
      </c>
      <c r="D412" s="1" t="s">
        <v>8</v>
      </c>
      <c r="E412" s="1" t="s">
        <v>70</v>
      </c>
      <c r="F412" s="1" t="s">
        <v>71</v>
      </c>
      <c r="G412" s="1">
        <v>1</v>
      </c>
      <c r="H412" s="1" t="s">
        <v>429</v>
      </c>
      <c r="I412" s="1" t="s">
        <v>1247</v>
      </c>
      <c r="J412" s="1" t="s">
        <v>1248</v>
      </c>
      <c r="K412" s="1" t="s">
        <v>844</v>
      </c>
      <c r="L412" s="1" t="s">
        <v>139</v>
      </c>
      <c r="M412" s="1" t="s">
        <v>51</v>
      </c>
      <c r="N412" s="1"/>
      <c r="O412" s="1">
        <f t="shared" si="6"/>
        <v>1</v>
      </c>
      <c r="P412" s="1" t="s">
        <v>433</v>
      </c>
    </row>
    <row r="413" spans="1:16" ht="69.25" customHeight="1">
      <c r="A413" s="1" t="s">
        <v>9</v>
      </c>
      <c r="B413" s="1" t="s">
        <v>34</v>
      </c>
      <c r="C413" s="1">
        <v>2023</v>
      </c>
      <c r="D413" s="1" t="s">
        <v>8</v>
      </c>
      <c r="E413" s="1" t="s">
        <v>74</v>
      </c>
      <c r="F413" s="1" t="s">
        <v>75</v>
      </c>
      <c r="G413" s="1">
        <v>0</v>
      </c>
      <c r="H413" s="1" t="s">
        <v>434</v>
      </c>
      <c r="I413" s="1" t="s">
        <v>1249</v>
      </c>
      <c r="J413" s="1" t="s">
        <v>1248</v>
      </c>
      <c r="K413" s="1" t="s">
        <v>859</v>
      </c>
      <c r="L413" s="1" t="s">
        <v>139</v>
      </c>
      <c r="M413" s="1" t="s">
        <v>51</v>
      </c>
      <c r="N413" s="1"/>
      <c r="O413" s="1">
        <f t="shared" si="6"/>
        <v>0</v>
      </c>
      <c r="P413" s="1" t="s">
        <v>437</v>
      </c>
    </row>
    <row r="414" spans="1:16" ht="69.25" customHeight="1">
      <c r="A414" s="1" t="s">
        <v>9</v>
      </c>
      <c r="B414" s="1" t="s">
        <v>34</v>
      </c>
      <c r="C414" s="1">
        <v>2023</v>
      </c>
      <c r="D414" s="1" t="s">
        <v>8</v>
      </c>
      <c r="E414" s="1" t="s">
        <v>78</v>
      </c>
      <c r="F414" s="1" t="s">
        <v>79</v>
      </c>
      <c r="G414" s="1">
        <v>1</v>
      </c>
      <c r="H414" s="1" t="s">
        <v>429</v>
      </c>
      <c r="I414" s="1" t="s">
        <v>1250</v>
      </c>
      <c r="J414" s="1" t="s">
        <v>1251</v>
      </c>
      <c r="K414" s="1" t="s">
        <v>1252</v>
      </c>
      <c r="L414" s="1" t="s">
        <v>139</v>
      </c>
      <c r="M414" s="1" t="s">
        <v>51</v>
      </c>
      <c r="N414" s="1"/>
      <c r="O414" s="1">
        <f t="shared" si="6"/>
        <v>1</v>
      </c>
      <c r="P414" s="1" t="s">
        <v>915</v>
      </c>
    </row>
    <row r="415" spans="1:16" ht="69.25" customHeight="1">
      <c r="A415" s="1" t="s">
        <v>9</v>
      </c>
      <c r="B415" s="1" t="s">
        <v>34</v>
      </c>
      <c r="C415" s="1">
        <v>2023</v>
      </c>
      <c r="D415" s="1" t="s">
        <v>8</v>
      </c>
      <c r="E415" s="1" t="s">
        <v>82</v>
      </c>
      <c r="F415" s="1" t="s">
        <v>83</v>
      </c>
      <c r="G415" s="1">
        <v>1</v>
      </c>
      <c r="H415" s="1" t="s">
        <v>429</v>
      </c>
      <c r="I415" s="1" t="s">
        <v>1253</v>
      </c>
      <c r="J415" s="1" t="s">
        <v>1248</v>
      </c>
      <c r="K415" s="1" t="s">
        <v>799</v>
      </c>
      <c r="L415" s="1" t="s">
        <v>139</v>
      </c>
      <c r="M415" s="1" t="s">
        <v>51</v>
      </c>
      <c r="N415" s="1"/>
      <c r="O415" s="1">
        <f t="shared" si="6"/>
        <v>1</v>
      </c>
      <c r="P415" s="1" t="s">
        <v>465</v>
      </c>
    </row>
    <row r="416" spans="1:16" ht="69.25" customHeight="1">
      <c r="A416" s="1" t="s">
        <v>9</v>
      </c>
      <c r="B416" s="1" t="s">
        <v>34</v>
      </c>
      <c r="C416" s="1">
        <v>2023</v>
      </c>
      <c r="D416" s="1" t="s">
        <v>8</v>
      </c>
      <c r="E416" s="1" t="s">
        <v>86</v>
      </c>
      <c r="F416" s="1" t="s">
        <v>87</v>
      </c>
      <c r="G416" s="1">
        <v>1</v>
      </c>
      <c r="H416" s="1" t="s">
        <v>429</v>
      </c>
      <c r="I416" s="1" t="s">
        <v>1254</v>
      </c>
      <c r="J416" s="1" t="s">
        <v>1248</v>
      </c>
      <c r="K416" s="1" t="s">
        <v>1255</v>
      </c>
      <c r="L416" s="1" t="s">
        <v>139</v>
      </c>
      <c r="M416" s="1" t="s">
        <v>51</v>
      </c>
      <c r="N416" s="1"/>
      <c r="O416" s="1">
        <f t="shared" si="6"/>
        <v>1</v>
      </c>
      <c r="P416" s="1" t="s">
        <v>467</v>
      </c>
    </row>
    <row r="417" spans="1:16" ht="69.25" customHeight="1">
      <c r="A417" s="1" t="s">
        <v>9</v>
      </c>
      <c r="B417" s="1" t="s">
        <v>34</v>
      </c>
      <c r="C417" s="1">
        <v>2023</v>
      </c>
      <c r="D417" s="1" t="s">
        <v>8</v>
      </c>
      <c r="E417" s="1" t="s">
        <v>90</v>
      </c>
      <c r="F417" s="1" t="s">
        <v>91</v>
      </c>
      <c r="G417" s="1">
        <v>1</v>
      </c>
      <c r="H417" s="1" t="s">
        <v>429</v>
      </c>
      <c r="I417" s="1" t="s">
        <v>1256</v>
      </c>
      <c r="J417" s="1" t="s">
        <v>1248</v>
      </c>
      <c r="K417" s="1" t="s">
        <v>1257</v>
      </c>
      <c r="L417" s="1" t="s">
        <v>139</v>
      </c>
      <c r="M417" s="1" t="s">
        <v>51</v>
      </c>
      <c r="N417" s="1"/>
      <c r="O417" s="1">
        <f t="shared" si="6"/>
        <v>1</v>
      </c>
      <c r="P417" s="1" t="s">
        <v>526</v>
      </c>
    </row>
    <row r="418" spans="1:16" ht="69.25" customHeight="1">
      <c r="A418" s="1" t="s">
        <v>9</v>
      </c>
      <c r="B418" s="1" t="s">
        <v>34</v>
      </c>
      <c r="C418" s="1">
        <v>2023</v>
      </c>
      <c r="D418" s="1" t="s">
        <v>8</v>
      </c>
      <c r="E418" s="1" t="s">
        <v>94</v>
      </c>
      <c r="F418" s="1" t="s">
        <v>95</v>
      </c>
      <c r="G418" s="1">
        <v>0</v>
      </c>
      <c r="H418" s="1" t="s">
        <v>445</v>
      </c>
      <c r="I418" s="1" t="s">
        <v>1258</v>
      </c>
      <c r="J418" s="1" t="s">
        <v>1251</v>
      </c>
      <c r="K418" s="1" t="s">
        <v>1259</v>
      </c>
      <c r="L418" s="1" t="s">
        <v>139</v>
      </c>
      <c r="M418" s="1" t="s">
        <v>51</v>
      </c>
      <c r="N418" s="1"/>
      <c r="O418" s="1">
        <f t="shared" si="6"/>
        <v>0</v>
      </c>
      <c r="P418" s="1" t="s">
        <v>448</v>
      </c>
    </row>
    <row r="419" spans="1:16" ht="69.25" customHeight="1">
      <c r="A419" s="1" t="s">
        <v>9</v>
      </c>
      <c r="B419" s="1" t="s">
        <v>34</v>
      </c>
      <c r="C419" s="1">
        <v>2023</v>
      </c>
      <c r="D419" s="1" t="s">
        <v>8</v>
      </c>
      <c r="E419" s="1" t="s">
        <v>98</v>
      </c>
      <c r="F419" s="1" t="s">
        <v>99</v>
      </c>
      <c r="G419" s="1">
        <v>0</v>
      </c>
      <c r="H419" s="1" t="s">
        <v>445</v>
      </c>
      <c r="I419" s="1" t="s">
        <v>1260</v>
      </c>
      <c r="J419" s="1" t="s">
        <v>1251</v>
      </c>
      <c r="K419" s="1" t="s">
        <v>617</v>
      </c>
      <c r="L419" s="1" t="s">
        <v>139</v>
      </c>
      <c r="M419" s="1" t="s">
        <v>51</v>
      </c>
      <c r="N419" s="1"/>
      <c r="O419" s="1">
        <f t="shared" si="6"/>
        <v>0</v>
      </c>
      <c r="P419" s="1" t="s">
        <v>448</v>
      </c>
    </row>
    <row r="420" spans="1:16" ht="69.25" customHeight="1">
      <c r="A420" s="1" t="s">
        <v>9</v>
      </c>
      <c r="B420" s="1" t="s">
        <v>34</v>
      </c>
      <c r="C420" s="1">
        <v>2023</v>
      </c>
      <c r="D420" s="1" t="s">
        <v>8</v>
      </c>
      <c r="E420" s="1" t="s">
        <v>102</v>
      </c>
      <c r="F420" s="1" t="s">
        <v>103</v>
      </c>
      <c r="G420" s="1">
        <v>0</v>
      </c>
      <c r="H420" s="1" t="s">
        <v>434</v>
      </c>
      <c r="I420" s="1" t="s">
        <v>1249</v>
      </c>
      <c r="J420" s="1" t="s">
        <v>1248</v>
      </c>
      <c r="K420" s="1" t="s">
        <v>859</v>
      </c>
      <c r="L420" s="1" t="s">
        <v>139</v>
      </c>
      <c r="M420" s="1" t="s">
        <v>51</v>
      </c>
      <c r="N420" s="1"/>
      <c r="O420" s="1">
        <f t="shared" si="6"/>
        <v>0</v>
      </c>
      <c r="P420" s="1" t="s">
        <v>452</v>
      </c>
    </row>
    <row r="421" spans="1:16" ht="69.25" customHeight="1">
      <c r="A421" s="1" t="s">
        <v>9</v>
      </c>
      <c r="B421" s="1" t="s">
        <v>34</v>
      </c>
      <c r="C421" s="1">
        <v>2023</v>
      </c>
      <c r="D421" s="1" t="s">
        <v>8</v>
      </c>
      <c r="E421" s="1" t="s">
        <v>106</v>
      </c>
      <c r="F421" s="1" t="s">
        <v>107</v>
      </c>
      <c r="G421" s="1">
        <v>1</v>
      </c>
      <c r="H421" s="1" t="s">
        <v>429</v>
      </c>
      <c r="I421" s="1" t="s">
        <v>1261</v>
      </c>
      <c r="J421" s="1" t="s">
        <v>1248</v>
      </c>
      <c r="K421" s="1" t="s">
        <v>1262</v>
      </c>
      <c r="L421" s="1" t="s">
        <v>139</v>
      </c>
      <c r="M421" s="1" t="s">
        <v>51</v>
      </c>
      <c r="N421" s="1"/>
      <c r="O421" s="1">
        <f t="shared" si="6"/>
        <v>1</v>
      </c>
      <c r="P421" s="1" t="s">
        <v>1246</v>
      </c>
    </row>
    <row r="422" spans="1:16" ht="69.25" customHeight="1">
      <c r="A422" s="1" t="s">
        <v>9</v>
      </c>
      <c r="B422" s="1" t="s">
        <v>34</v>
      </c>
      <c r="C422" s="1">
        <v>2024</v>
      </c>
      <c r="D422" s="1" t="s">
        <v>8</v>
      </c>
      <c r="E422" s="1" t="s">
        <v>70</v>
      </c>
      <c r="F422" s="1" t="s">
        <v>71</v>
      </c>
      <c r="G422" s="1">
        <v>1</v>
      </c>
      <c r="H422" s="1" t="s">
        <v>429</v>
      </c>
      <c r="I422" s="1" t="s">
        <v>1263</v>
      </c>
      <c r="J422" s="1" t="s">
        <v>1264</v>
      </c>
      <c r="K422" s="1" t="s">
        <v>1265</v>
      </c>
      <c r="L422" s="1" t="s">
        <v>139</v>
      </c>
      <c r="M422" s="1" t="s">
        <v>51</v>
      </c>
      <c r="N422" s="1"/>
      <c r="O422" s="1">
        <f t="shared" si="6"/>
        <v>1</v>
      </c>
      <c r="P422" s="1" t="s">
        <v>433</v>
      </c>
    </row>
    <row r="423" spans="1:16" ht="69.25" customHeight="1">
      <c r="A423" s="1" t="s">
        <v>9</v>
      </c>
      <c r="B423" s="1" t="s">
        <v>34</v>
      </c>
      <c r="C423" s="1">
        <v>2024</v>
      </c>
      <c r="D423" s="1" t="s">
        <v>8</v>
      </c>
      <c r="E423" s="1" t="s">
        <v>74</v>
      </c>
      <c r="F423" s="1" t="s">
        <v>75</v>
      </c>
      <c r="G423" s="1">
        <v>0</v>
      </c>
      <c r="H423" s="1" t="s">
        <v>434</v>
      </c>
      <c r="I423" s="1" t="s">
        <v>1266</v>
      </c>
      <c r="J423" s="1" t="s">
        <v>1264</v>
      </c>
      <c r="K423" s="1" t="s">
        <v>606</v>
      </c>
      <c r="L423" s="1" t="s">
        <v>139</v>
      </c>
      <c r="M423" s="1" t="s">
        <v>51</v>
      </c>
      <c r="N423" s="1"/>
      <c r="O423" s="1">
        <f t="shared" si="6"/>
        <v>0</v>
      </c>
      <c r="P423" s="1" t="s">
        <v>437</v>
      </c>
    </row>
    <row r="424" spans="1:16" ht="69.25" customHeight="1">
      <c r="A424" s="1" t="s">
        <v>9</v>
      </c>
      <c r="B424" s="1" t="s">
        <v>34</v>
      </c>
      <c r="C424" s="1">
        <v>2024</v>
      </c>
      <c r="D424" s="1" t="s">
        <v>8</v>
      </c>
      <c r="E424" s="1" t="s">
        <v>78</v>
      </c>
      <c r="F424" s="1" t="s">
        <v>79</v>
      </c>
      <c r="G424" s="1">
        <v>1</v>
      </c>
      <c r="H424" s="1" t="s">
        <v>429</v>
      </c>
      <c r="I424" s="1" t="s">
        <v>1267</v>
      </c>
      <c r="J424" s="1" t="s">
        <v>1264</v>
      </c>
      <c r="K424" s="1" t="s">
        <v>1000</v>
      </c>
      <c r="L424" s="1" t="s">
        <v>139</v>
      </c>
      <c r="M424" s="1" t="s">
        <v>51</v>
      </c>
      <c r="N424" s="1"/>
      <c r="O424" s="1">
        <f t="shared" si="6"/>
        <v>1</v>
      </c>
      <c r="P424" s="1" t="s">
        <v>915</v>
      </c>
    </row>
    <row r="425" spans="1:16" ht="69.25" customHeight="1">
      <c r="A425" s="1" t="s">
        <v>9</v>
      </c>
      <c r="B425" s="1" t="s">
        <v>34</v>
      </c>
      <c r="C425" s="1">
        <v>2024</v>
      </c>
      <c r="D425" s="1" t="s">
        <v>8</v>
      </c>
      <c r="E425" s="1" t="s">
        <v>82</v>
      </c>
      <c r="F425" s="1" t="s">
        <v>83</v>
      </c>
      <c r="G425" s="1">
        <v>1</v>
      </c>
      <c r="H425" s="1" t="s">
        <v>429</v>
      </c>
      <c r="I425" s="1" t="s">
        <v>1268</v>
      </c>
      <c r="J425" s="1" t="s">
        <v>1264</v>
      </c>
      <c r="K425" s="1" t="s">
        <v>1269</v>
      </c>
      <c r="L425" s="1" t="s">
        <v>139</v>
      </c>
      <c r="M425" s="1" t="s">
        <v>51</v>
      </c>
      <c r="N425" s="1"/>
      <c r="O425" s="1">
        <f t="shared" si="6"/>
        <v>1</v>
      </c>
      <c r="P425" s="1" t="s">
        <v>465</v>
      </c>
    </row>
    <row r="426" spans="1:16" ht="69.25" customHeight="1">
      <c r="A426" s="1" t="s">
        <v>9</v>
      </c>
      <c r="B426" s="1" t="s">
        <v>34</v>
      </c>
      <c r="C426" s="1">
        <v>2024</v>
      </c>
      <c r="D426" s="1" t="s">
        <v>8</v>
      </c>
      <c r="E426" s="1" t="s">
        <v>86</v>
      </c>
      <c r="F426" s="1" t="s">
        <v>87</v>
      </c>
      <c r="G426" s="1">
        <v>1</v>
      </c>
      <c r="H426" s="1" t="s">
        <v>429</v>
      </c>
      <c r="I426" s="1" t="s">
        <v>1270</v>
      </c>
      <c r="J426" s="1" t="s">
        <v>1264</v>
      </c>
      <c r="K426" s="1" t="s">
        <v>1269</v>
      </c>
      <c r="L426" s="1" t="s">
        <v>139</v>
      </c>
      <c r="M426" s="1" t="s">
        <v>51</v>
      </c>
      <c r="N426" s="1"/>
      <c r="O426" s="1">
        <f t="shared" si="6"/>
        <v>1</v>
      </c>
      <c r="P426" s="1" t="s">
        <v>467</v>
      </c>
    </row>
    <row r="427" spans="1:16" ht="69.25" customHeight="1">
      <c r="A427" s="1" t="s">
        <v>9</v>
      </c>
      <c r="B427" s="1" t="s">
        <v>34</v>
      </c>
      <c r="C427" s="1">
        <v>2024</v>
      </c>
      <c r="D427" s="1" t="s">
        <v>8</v>
      </c>
      <c r="E427" s="1" t="s">
        <v>90</v>
      </c>
      <c r="F427" s="1" t="s">
        <v>91</v>
      </c>
      <c r="G427" s="1">
        <v>0</v>
      </c>
      <c r="H427" s="1" t="s">
        <v>434</v>
      </c>
      <c r="I427" s="1" t="s">
        <v>1271</v>
      </c>
      <c r="J427" s="1" t="s">
        <v>1264</v>
      </c>
      <c r="K427" s="1" t="s">
        <v>1272</v>
      </c>
      <c r="L427" s="1" t="s">
        <v>139</v>
      </c>
      <c r="M427" s="1" t="s">
        <v>51</v>
      </c>
      <c r="N427" s="1"/>
      <c r="O427" s="1">
        <f t="shared" si="6"/>
        <v>0</v>
      </c>
      <c r="P427" s="1" t="s">
        <v>444</v>
      </c>
    </row>
    <row r="428" spans="1:16" ht="69.25" customHeight="1">
      <c r="A428" s="1" t="s">
        <v>9</v>
      </c>
      <c r="B428" s="1" t="s">
        <v>34</v>
      </c>
      <c r="C428" s="1">
        <v>2024</v>
      </c>
      <c r="D428" s="1" t="s">
        <v>8</v>
      </c>
      <c r="E428" s="1" t="s">
        <v>94</v>
      </c>
      <c r="F428" s="1" t="s">
        <v>95</v>
      </c>
      <c r="G428" s="1">
        <v>1</v>
      </c>
      <c r="H428" s="1" t="s">
        <v>429</v>
      </c>
      <c r="I428" s="1" t="s">
        <v>1273</v>
      </c>
      <c r="J428" s="1" t="s">
        <v>1264</v>
      </c>
      <c r="K428" s="1" t="s">
        <v>1274</v>
      </c>
      <c r="L428" s="1" t="s">
        <v>139</v>
      </c>
      <c r="M428" s="1" t="s">
        <v>51</v>
      </c>
      <c r="N428" s="1"/>
      <c r="O428" s="1">
        <f t="shared" si="6"/>
        <v>1</v>
      </c>
      <c r="P428" s="1" t="s">
        <v>643</v>
      </c>
    </row>
    <row r="429" spans="1:16" ht="69.25" customHeight="1">
      <c r="A429" s="1" t="s">
        <v>9</v>
      </c>
      <c r="B429" s="1" t="s">
        <v>34</v>
      </c>
      <c r="C429" s="1">
        <v>2024</v>
      </c>
      <c r="D429" s="1" t="s">
        <v>8</v>
      </c>
      <c r="E429" s="1" t="s">
        <v>98</v>
      </c>
      <c r="F429" s="1" t="s">
        <v>99</v>
      </c>
      <c r="G429" s="1">
        <v>0</v>
      </c>
      <c r="H429" s="1" t="s">
        <v>445</v>
      </c>
      <c r="I429" s="1" t="s">
        <v>1275</v>
      </c>
      <c r="J429" s="1" t="s">
        <v>1264</v>
      </c>
      <c r="K429" s="1" t="s">
        <v>1276</v>
      </c>
      <c r="L429" s="1" t="s">
        <v>139</v>
      </c>
      <c r="M429" s="1" t="s">
        <v>51</v>
      </c>
      <c r="N429" s="1"/>
      <c r="O429" s="1">
        <f t="shared" si="6"/>
        <v>0</v>
      </c>
      <c r="P429" s="1" t="s">
        <v>448</v>
      </c>
    </row>
    <row r="430" spans="1:16" ht="69.25" customHeight="1">
      <c r="A430" s="1" t="s">
        <v>9</v>
      </c>
      <c r="B430" s="1" t="s">
        <v>34</v>
      </c>
      <c r="C430" s="1">
        <v>2024</v>
      </c>
      <c r="D430" s="1" t="s">
        <v>8</v>
      </c>
      <c r="E430" s="1" t="s">
        <v>102</v>
      </c>
      <c r="F430" s="1" t="s">
        <v>103</v>
      </c>
      <c r="G430" s="1">
        <v>0</v>
      </c>
      <c r="H430" s="1" t="s">
        <v>434</v>
      </c>
      <c r="I430" s="1" t="s">
        <v>1266</v>
      </c>
      <c r="J430" s="1" t="s">
        <v>1264</v>
      </c>
      <c r="K430" s="1" t="s">
        <v>606</v>
      </c>
      <c r="L430" s="1" t="s">
        <v>139</v>
      </c>
      <c r="M430" s="1" t="s">
        <v>51</v>
      </c>
      <c r="N430" s="1"/>
      <c r="O430" s="1">
        <f t="shared" si="6"/>
        <v>0</v>
      </c>
      <c r="P430" s="1" t="s">
        <v>452</v>
      </c>
    </row>
    <row r="431" spans="1:16" ht="69.25" customHeight="1">
      <c r="A431" s="1" t="s">
        <v>9</v>
      </c>
      <c r="B431" s="1" t="s">
        <v>34</v>
      </c>
      <c r="C431" s="1">
        <v>2024</v>
      </c>
      <c r="D431" s="1" t="s">
        <v>8</v>
      </c>
      <c r="E431" s="1" t="s">
        <v>106</v>
      </c>
      <c r="F431" s="1" t="s">
        <v>107</v>
      </c>
      <c r="G431" s="1">
        <v>0</v>
      </c>
      <c r="H431" s="1" t="s">
        <v>434</v>
      </c>
      <c r="I431" s="1" t="s">
        <v>1277</v>
      </c>
      <c r="J431" s="1" t="s">
        <v>1264</v>
      </c>
      <c r="K431" s="1" t="s">
        <v>1278</v>
      </c>
      <c r="L431" s="1" t="s">
        <v>139</v>
      </c>
      <c r="M431" s="1" t="s">
        <v>51</v>
      </c>
      <c r="N431" s="1"/>
      <c r="O431" s="1">
        <f t="shared" si="6"/>
        <v>0</v>
      </c>
      <c r="P431" s="1" t="s">
        <v>454</v>
      </c>
    </row>
    <row r="432" spans="1:16" ht="69.25" customHeight="1">
      <c r="A432" s="1" t="s">
        <v>9</v>
      </c>
      <c r="B432" s="1" t="s">
        <v>34</v>
      </c>
      <c r="C432" s="1">
        <v>2025</v>
      </c>
      <c r="D432" s="1" t="s">
        <v>8</v>
      </c>
      <c r="E432" s="1" t="s">
        <v>70</v>
      </c>
      <c r="F432" s="1" t="s">
        <v>71</v>
      </c>
      <c r="G432" s="1">
        <v>1</v>
      </c>
      <c r="H432" s="1" t="s">
        <v>429</v>
      </c>
      <c r="I432" s="1" t="s">
        <v>1279</v>
      </c>
      <c r="J432" s="1" t="s">
        <v>1280</v>
      </c>
      <c r="K432" s="1" t="s">
        <v>873</v>
      </c>
      <c r="L432" s="1" t="s">
        <v>139</v>
      </c>
      <c r="M432" s="1" t="s">
        <v>51</v>
      </c>
      <c r="N432" s="1"/>
      <c r="O432" s="1">
        <f t="shared" si="6"/>
        <v>1</v>
      </c>
      <c r="P432" s="1" t="s">
        <v>433</v>
      </c>
    </row>
    <row r="433" spans="1:16" ht="69.25" customHeight="1">
      <c r="A433" s="1" t="s">
        <v>9</v>
      </c>
      <c r="B433" s="1" t="s">
        <v>34</v>
      </c>
      <c r="C433" s="1">
        <v>2025</v>
      </c>
      <c r="D433" s="1" t="s">
        <v>8</v>
      </c>
      <c r="E433" s="1" t="s">
        <v>74</v>
      </c>
      <c r="F433" s="1" t="s">
        <v>75</v>
      </c>
      <c r="G433" s="1">
        <v>0</v>
      </c>
      <c r="H433" s="1" t="s">
        <v>434</v>
      </c>
      <c r="I433" s="1" t="s">
        <v>1281</v>
      </c>
      <c r="J433" s="1" t="s">
        <v>1280</v>
      </c>
      <c r="K433" s="1" t="s">
        <v>1282</v>
      </c>
      <c r="L433" s="1" t="s">
        <v>139</v>
      </c>
      <c r="M433" s="1" t="s">
        <v>51</v>
      </c>
      <c r="N433" s="1"/>
      <c r="O433" s="1">
        <f t="shared" si="6"/>
        <v>0</v>
      </c>
      <c r="P433" s="1" t="s">
        <v>437</v>
      </c>
    </row>
    <row r="434" spans="1:16" ht="69.25" customHeight="1">
      <c r="A434" s="1" t="s">
        <v>9</v>
      </c>
      <c r="B434" s="1" t="s">
        <v>34</v>
      </c>
      <c r="C434" s="1">
        <v>2025</v>
      </c>
      <c r="D434" s="1" t="s">
        <v>8</v>
      </c>
      <c r="E434" s="1" t="s">
        <v>78</v>
      </c>
      <c r="F434" s="1" t="s">
        <v>79</v>
      </c>
      <c r="G434" s="1">
        <v>1</v>
      </c>
      <c r="H434" s="1" t="s">
        <v>429</v>
      </c>
      <c r="I434" s="1" t="s">
        <v>1283</v>
      </c>
      <c r="J434" s="1" t="s">
        <v>1280</v>
      </c>
      <c r="K434" s="1" t="s">
        <v>1284</v>
      </c>
      <c r="L434" s="1" t="s">
        <v>139</v>
      </c>
      <c r="M434" s="1" t="s">
        <v>51</v>
      </c>
      <c r="N434" s="1"/>
      <c r="O434" s="1">
        <f t="shared" si="6"/>
        <v>1</v>
      </c>
      <c r="P434" s="1" t="s">
        <v>915</v>
      </c>
    </row>
    <row r="435" spans="1:16" ht="69.25" customHeight="1">
      <c r="A435" s="1" t="s">
        <v>9</v>
      </c>
      <c r="B435" s="1" t="s">
        <v>34</v>
      </c>
      <c r="C435" s="1">
        <v>2025</v>
      </c>
      <c r="D435" s="1" t="s">
        <v>8</v>
      </c>
      <c r="E435" s="1" t="s">
        <v>82</v>
      </c>
      <c r="F435" s="1" t="s">
        <v>83</v>
      </c>
      <c r="G435" s="1">
        <v>0</v>
      </c>
      <c r="H435" s="1" t="s">
        <v>445</v>
      </c>
      <c r="I435" s="1" t="s">
        <v>1285</v>
      </c>
      <c r="J435" s="1" t="s">
        <v>1286</v>
      </c>
      <c r="K435" s="1" t="s">
        <v>1287</v>
      </c>
      <c r="L435" s="1" t="s">
        <v>139</v>
      </c>
      <c r="M435" s="1" t="s">
        <v>51</v>
      </c>
      <c r="N435" s="1"/>
      <c r="O435" s="1">
        <f t="shared" si="6"/>
        <v>0</v>
      </c>
      <c r="P435" s="1" t="s">
        <v>448</v>
      </c>
    </row>
    <row r="436" spans="1:16" ht="69.25" customHeight="1">
      <c r="A436" s="1" t="s">
        <v>9</v>
      </c>
      <c r="B436" s="1" t="s">
        <v>34</v>
      </c>
      <c r="C436" s="1">
        <v>2025</v>
      </c>
      <c r="D436" s="1" t="s">
        <v>8</v>
      </c>
      <c r="E436" s="1" t="s">
        <v>86</v>
      </c>
      <c r="F436" s="1" t="s">
        <v>87</v>
      </c>
      <c r="G436" s="1">
        <v>1</v>
      </c>
      <c r="H436" s="1" t="s">
        <v>429</v>
      </c>
      <c r="I436" s="1" t="s">
        <v>1288</v>
      </c>
      <c r="J436" s="1" t="s">
        <v>1286</v>
      </c>
      <c r="K436" s="1" t="s">
        <v>1287</v>
      </c>
      <c r="L436" s="1" t="s">
        <v>139</v>
      </c>
      <c r="M436" s="1" t="s">
        <v>51</v>
      </c>
      <c r="N436" s="1"/>
      <c r="O436" s="1">
        <f t="shared" si="6"/>
        <v>1</v>
      </c>
      <c r="P436" s="1" t="s">
        <v>467</v>
      </c>
    </row>
    <row r="437" spans="1:16" ht="69.25" customHeight="1">
      <c r="A437" s="1" t="s">
        <v>9</v>
      </c>
      <c r="B437" s="1" t="s">
        <v>34</v>
      </c>
      <c r="C437" s="1">
        <v>2025</v>
      </c>
      <c r="D437" s="1" t="s">
        <v>8</v>
      </c>
      <c r="E437" s="1" t="s">
        <v>90</v>
      </c>
      <c r="F437" s="1" t="s">
        <v>91</v>
      </c>
      <c r="G437" s="1">
        <v>1</v>
      </c>
      <c r="H437" s="1" t="s">
        <v>429</v>
      </c>
      <c r="I437" s="1" t="s">
        <v>1285</v>
      </c>
      <c r="J437" s="1" t="s">
        <v>1286</v>
      </c>
      <c r="K437" s="1" t="s">
        <v>1287</v>
      </c>
      <c r="L437" s="1" t="s">
        <v>139</v>
      </c>
      <c r="M437" s="1" t="s">
        <v>51</v>
      </c>
      <c r="N437" s="1"/>
      <c r="O437" s="1">
        <f t="shared" si="6"/>
        <v>1</v>
      </c>
      <c r="P437" s="1" t="s">
        <v>526</v>
      </c>
    </row>
    <row r="438" spans="1:16" ht="69.25" customHeight="1">
      <c r="A438" s="1" t="s">
        <v>9</v>
      </c>
      <c r="B438" s="1" t="s">
        <v>34</v>
      </c>
      <c r="C438" s="1">
        <v>2025</v>
      </c>
      <c r="D438" s="1" t="s">
        <v>8</v>
      </c>
      <c r="E438" s="1" t="s">
        <v>94</v>
      </c>
      <c r="F438" s="1" t="s">
        <v>95</v>
      </c>
      <c r="G438" s="1">
        <v>1</v>
      </c>
      <c r="H438" s="1" t="s">
        <v>429</v>
      </c>
      <c r="I438" s="1" t="s">
        <v>1289</v>
      </c>
      <c r="J438" s="1" t="s">
        <v>1280</v>
      </c>
      <c r="K438" s="1" t="s">
        <v>1290</v>
      </c>
      <c r="L438" s="1" t="s">
        <v>139</v>
      </c>
      <c r="M438" s="1" t="s">
        <v>51</v>
      </c>
      <c r="N438" s="1"/>
      <c r="O438" s="1">
        <f t="shared" si="6"/>
        <v>1</v>
      </c>
      <c r="P438" s="1" t="s">
        <v>643</v>
      </c>
    </row>
    <row r="439" spans="1:16" ht="69.25" customHeight="1">
      <c r="A439" s="1" t="s">
        <v>9</v>
      </c>
      <c r="B439" s="1" t="s">
        <v>34</v>
      </c>
      <c r="C439" s="1">
        <v>2025</v>
      </c>
      <c r="D439" s="1" t="s">
        <v>8</v>
      </c>
      <c r="E439" s="1" t="s">
        <v>98</v>
      </c>
      <c r="F439" s="1" t="s">
        <v>99</v>
      </c>
      <c r="G439" s="1">
        <v>1</v>
      </c>
      <c r="H439" s="1" t="s">
        <v>429</v>
      </c>
      <c r="I439" s="1" t="s">
        <v>1291</v>
      </c>
      <c r="J439" s="1" t="s">
        <v>1280</v>
      </c>
      <c r="K439" s="1" t="s">
        <v>1292</v>
      </c>
      <c r="L439" s="1" t="s">
        <v>139</v>
      </c>
      <c r="M439" s="1" t="s">
        <v>51</v>
      </c>
      <c r="N439" s="1"/>
      <c r="O439" s="1">
        <f t="shared" si="6"/>
        <v>1</v>
      </c>
      <c r="P439" s="1" t="s">
        <v>451</v>
      </c>
    </row>
    <row r="440" spans="1:16" ht="69.25" customHeight="1">
      <c r="A440" s="1" t="s">
        <v>9</v>
      </c>
      <c r="B440" s="1" t="s">
        <v>34</v>
      </c>
      <c r="C440" s="1">
        <v>2025</v>
      </c>
      <c r="D440" s="1" t="s">
        <v>8</v>
      </c>
      <c r="E440" s="1" t="s">
        <v>102</v>
      </c>
      <c r="F440" s="1" t="s">
        <v>103</v>
      </c>
      <c r="G440" s="1">
        <v>0</v>
      </c>
      <c r="H440" s="1" t="s">
        <v>434</v>
      </c>
      <c r="I440" s="1" t="s">
        <v>1281</v>
      </c>
      <c r="J440" s="1" t="s">
        <v>1280</v>
      </c>
      <c r="K440" s="1" t="s">
        <v>1282</v>
      </c>
      <c r="L440" s="1" t="s">
        <v>139</v>
      </c>
      <c r="M440" s="1" t="s">
        <v>51</v>
      </c>
      <c r="N440" s="1"/>
      <c r="O440" s="1">
        <f t="shared" si="6"/>
        <v>0</v>
      </c>
      <c r="P440" s="1" t="s">
        <v>452</v>
      </c>
    </row>
    <row r="441" spans="1:16" ht="69.25" customHeight="1">
      <c r="A441" s="1" t="s">
        <v>9</v>
      </c>
      <c r="B441" s="1" t="s">
        <v>34</v>
      </c>
      <c r="C441" s="1">
        <v>2025</v>
      </c>
      <c r="D441" s="1" t="s">
        <v>8</v>
      </c>
      <c r="E441" s="1" t="s">
        <v>106</v>
      </c>
      <c r="F441" s="1" t="s">
        <v>107</v>
      </c>
      <c r="G441" s="1">
        <v>0</v>
      </c>
      <c r="H441" s="1" t="s">
        <v>434</v>
      </c>
      <c r="I441" s="1" t="s">
        <v>1293</v>
      </c>
      <c r="J441" s="1" t="s">
        <v>1286</v>
      </c>
      <c r="K441" s="1" t="s">
        <v>1287</v>
      </c>
      <c r="L441" s="1" t="s">
        <v>139</v>
      </c>
      <c r="M441" s="1" t="s">
        <v>51</v>
      </c>
      <c r="N441" s="1"/>
      <c r="O441" s="1">
        <f t="shared" si="6"/>
        <v>0</v>
      </c>
      <c r="P441" s="1" t="s">
        <v>454</v>
      </c>
    </row>
    <row r="442" spans="1:16" ht="69.25" customHeight="1">
      <c r="A442" s="1" t="s">
        <v>9</v>
      </c>
      <c r="B442" s="1" t="s">
        <v>36</v>
      </c>
      <c r="C442" s="1">
        <v>2022</v>
      </c>
      <c r="D442" s="1" t="s">
        <v>38</v>
      </c>
      <c r="E442" s="1" t="s">
        <v>70</v>
      </c>
      <c r="F442" s="1" t="s">
        <v>71</v>
      </c>
      <c r="G442" s="1">
        <v>0</v>
      </c>
      <c r="H442" s="1" t="s">
        <v>434</v>
      </c>
      <c r="I442" s="1" t="s">
        <v>1294</v>
      </c>
      <c r="J442" s="1" t="s">
        <v>1295</v>
      </c>
      <c r="K442" s="1" t="s">
        <v>1296</v>
      </c>
      <c r="L442" s="1" t="s">
        <v>140</v>
      </c>
      <c r="M442" s="1" t="s">
        <v>51</v>
      </c>
      <c r="N442" s="1"/>
      <c r="O442" s="1">
        <f t="shared" si="6"/>
        <v>0</v>
      </c>
      <c r="P442" s="1" t="s">
        <v>1297</v>
      </c>
    </row>
    <row r="443" spans="1:16" ht="69.25" customHeight="1">
      <c r="A443" s="1" t="s">
        <v>9</v>
      </c>
      <c r="B443" s="1" t="s">
        <v>36</v>
      </c>
      <c r="C443" s="1">
        <v>2022</v>
      </c>
      <c r="D443" s="1" t="s">
        <v>38</v>
      </c>
      <c r="E443" s="1" t="s">
        <v>74</v>
      </c>
      <c r="F443" s="1" t="s">
        <v>75</v>
      </c>
      <c r="G443" s="1">
        <v>0</v>
      </c>
      <c r="H443" s="1" t="s">
        <v>434</v>
      </c>
      <c r="I443" s="1" t="s">
        <v>1298</v>
      </c>
      <c r="J443" s="1" t="s">
        <v>1295</v>
      </c>
      <c r="K443" s="1" t="s">
        <v>947</v>
      </c>
      <c r="L443" s="1" t="s">
        <v>140</v>
      </c>
      <c r="M443" s="1" t="s">
        <v>51</v>
      </c>
      <c r="N443" s="1"/>
      <c r="O443" s="1">
        <f t="shared" si="6"/>
        <v>0</v>
      </c>
      <c r="P443" s="1" t="s">
        <v>437</v>
      </c>
    </row>
    <row r="444" spans="1:16" ht="69.25" customHeight="1">
      <c r="A444" s="1" t="s">
        <v>9</v>
      </c>
      <c r="B444" s="1" t="s">
        <v>36</v>
      </c>
      <c r="C444" s="1">
        <v>2022</v>
      </c>
      <c r="D444" s="1" t="s">
        <v>38</v>
      </c>
      <c r="E444" s="1" t="s">
        <v>78</v>
      </c>
      <c r="F444" s="1" t="s">
        <v>79</v>
      </c>
      <c r="G444" s="1">
        <v>0</v>
      </c>
      <c r="H444" s="1" t="s">
        <v>434</v>
      </c>
      <c r="I444" s="1" t="s">
        <v>1299</v>
      </c>
      <c r="J444" s="1" t="s">
        <v>1295</v>
      </c>
      <c r="K444" s="1" t="s">
        <v>864</v>
      </c>
      <c r="L444" s="1" t="s">
        <v>140</v>
      </c>
      <c r="M444" s="1" t="s">
        <v>51</v>
      </c>
      <c r="N444" s="1"/>
      <c r="O444" s="1">
        <f t="shared" si="6"/>
        <v>0</v>
      </c>
      <c r="P444" s="1" t="s">
        <v>439</v>
      </c>
    </row>
    <row r="445" spans="1:16" ht="69.25" customHeight="1">
      <c r="A445" s="1" t="s">
        <v>9</v>
      </c>
      <c r="B445" s="1" t="s">
        <v>36</v>
      </c>
      <c r="C445" s="1">
        <v>2022</v>
      </c>
      <c r="D445" s="1" t="s">
        <v>38</v>
      </c>
      <c r="E445" s="1" t="s">
        <v>82</v>
      </c>
      <c r="F445" s="1" t="s">
        <v>83</v>
      </c>
      <c r="G445" s="1">
        <v>0</v>
      </c>
      <c r="H445" s="1" t="s">
        <v>434</v>
      </c>
      <c r="I445" s="1" t="s">
        <v>440</v>
      </c>
      <c r="J445" s="1" t="s">
        <v>1295</v>
      </c>
      <c r="K445" s="1"/>
      <c r="L445" s="1" t="s">
        <v>140</v>
      </c>
      <c r="M445" s="1" t="s">
        <v>51</v>
      </c>
      <c r="N445" s="1"/>
      <c r="O445" s="1">
        <f t="shared" si="6"/>
        <v>0</v>
      </c>
      <c r="P445" s="1" t="s">
        <v>441</v>
      </c>
    </row>
    <row r="446" spans="1:16" ht="69.25" customHeight="1">
      <c r="A446" s="1" t="s">
        <v>9</v>
      </c>
      <c r="B446" s="1" t="s">
        <v>36</v>
      </c>
      <c r="C446" s="1">
        <v>2022</v>
      </c>
      <c r="D446" s="1" t="s">
        <v>38</v>
      </c>
      <c r="E446" s="1" t="s">
        <v>86</v>
      </c>
      <c r="F446" s="1" t="s">
        <v>87</v>
      </c>
      <c r="G446" s="1">
        <v>0</v>
      </c>
      <c r="H446" s="1" t="s">
        <v>434</v>
      </c>
      <c r="I446" s="1" t="s">
        <v>440</v>
      </c>
      <c r="J446" s="1" t="s">
        <v>1295</v>
      </c>
      <c r="K446" s="1"/>
      <c r="L446" s="1" t="s">
        <v>140</v>
      </c>
      <c r="M446" s="1" t="s">
        <v>51</v>
      </c>
      <c r="N446" s="1"/>
      <c r="O446" s="1">
        <f t="shared" si="6"/>
        <v>0</v>
      </c>
      <c r="P446" s="1" t="s">
        <v>441</v>
      </c>
    </row>
    <row r="447" spans="1:16" ht="69.25" customHeight="1">
      <c r="A447" s="1" t="s">
        <v>9</v>
      </c>
      <c r="B447" s="1" t="s">
        <v>36</v>
      </c>
      <c r="C447" s="1">
        <v>2022</v>
      </c>
      <c r="D447" s="1" t="s">
        <v>38</v>
      </c>
      <c r="E447" s="1" t="s">
        <v>90</v>
      </c>
      <c r="F447" s="1" t="s">
        <v>91</v>
      </c>
      <c r="G447" s="1">
        <v>0</v>
      </c>
      <c r="H447" s="1" t="s">
        <v>434</v>
      </c>
      <c r="I447" s="1" t="s">
        <v>1300</v>
      </c>
      <c r="J447" s="1" t="s">
        <v>1295</v>
      </c>
      <c r="K447" s="1" t="s">
        <v>1241</v>
      </c>
      <c r="L447" s="1" t="s">
        <v>140</v>
      </c>
      <c r="M447" s="1" t="s">
        <v>51</v>
      </c>
      <c r="N447" s="1"/>
      <c r="O447" s="1">
        <f t="shared" si="6"/>
        <v>0</v>
      </c>
      <c r="P447" s="1" t="s">
        <v>444</v>
      </c>
    </row>
    <row r="448" spans="1:16" ht="69.25" customHeight="1">
      <c r="A448" s="1" t="s">
        <v>9</v>
      </c>
      <c r="B448" s="1" t="s">
        <v>36</v>
      </c>
      <c r="C448" s="1">
        <v>2022</v>
      </c>
      <c r="D448" s="1" t="s">
        <v>38</v>
      </c>
      <c r="E448" s="1" t="s">
        <v>94</v>
      </c>
      <c r="F448" s="1" t="s">
        <v>95</v>
      </c>
      <c r="G448" s="1">
        <v>0</v>
      </c>
      <c r="H448" s="1" t="s">
        <v>445</v>
      </c>
      <c r="I448" s="1" t="s">
        <v>1301</v>
      </c>
      <c r="J448" s="1" t="s">
        <v>1295</v>
      </c>
      <c r="K448" s="1" t="s">
        <v>1302</v>
      </c>
      <c r="L448" s="1" t="s">
        <v>140</v>
      </c>
      <c r="M448" s="1" t="s">
        <v>51</v>
      </c>
      <c r="N448" s="1"/>
      <c r="O448" s="1">
        <f t="shared" si="6"/>
        <v>0</v>
      </c>
      <c r="P448" s="1" t="s">
        <v>448</v>
      </c>
    </row>
    <row r="449" spans="1:16" ht="69.25" customHeight="1">
      <c r="A449" s="1" t="s">
        <v>9</v>
      </c>
      <c r="B449" s="1" t="s">
        <v>36</v>
      </c>
      <c r="C449" s="1">
        <v>2022</v>
      </c>
      <c r="D449" s="1" t="s">
        <v>38</v>
      </c>
      <c r="E449" s="1" t="s">
        <v>98</v>
      </c>
      <c r="F449" s="1" t="s">
        <v>99</v>
      </c>
      <c r="G449" s="1">
        <v>0</v>
      </c>
      <c r="H449" s="1" t="s">
        <v>434</v>
      </c>
      <c r="I449" s="1" t="s">
        <v>1303</v>
      </c>
      <c r="J449" s="1" t="s">
        <v>1295</v>
      </c>
      <c r="K449" s="1" t="s">
        <v>1304</v>
      </c>
      <c r="L449" s="1" t="s">
        <v>140</v>
      </c>
      <c r="M449" s="1" t="s">
        <v>51</v>
      </c>
      <c r="N449" s="1"/>
      <c r="O449" s="1">
        <f t="shared" si="6"/>
        <v>0</v>
      </c>
      <c r="P449" s="1" t="s">
        <v>472</v>
      </c>
    </row>
    <row r="450" spans="1:16" ht="69.25" customHeight="1">
      <c r="A450" s="1" t="s">
        <v>9</v>
      </c>
      <c r="B450" s="1" t="s">
        <v>36</v>
      </c>
      <c r="C450" s="1">
        <v>2022</v>
      </c>
      <c r="D450" s="1" t="s">
        <v>38</v>
      </c>
      <c r="E450" s="1" t="s">
        <v>102</v>
      </c>
      <c r="F450" s="1" t="s">
        <v>103</v>
      </c>
      <c r="G450" s="1">
        <v>0</v>
      </c>
      <c r="H450" s="1" t="s">
        <v>434</v>
      </c>
      <c r="I450" s="1" t="s">
        <v>1298</v>
      </c>
      <c r="J450" s="1" t="s">
        <v>1295</v>
      </c>
      <c r="K450" s="1" t="s">
        <v>947</v>
      </c>
      <c r="L450" s="1" t="s">
        <v>140</v>
      </c>
      <c r="M450" s="1" t="s">
        <v>51</v>
      </c>
      <c r="N450" s="1"/>
      <c r="O450" s="1">
        <f t="shared" ref="O450:O513" si="7">IF(N450&lt;&gt;"",N450,G450)</f>
        <v>0</v>
      </c>
      <c r="P450" s="1" t="s">
        <v>452</v>
      </c>
    </row>
    <row r="451" spans="1:16" ht="69.25" customHeight="1">
      <c r="A451" s="1" t="s">
        <v>9</v>
      </c>
      <c r="B451" s="1" t="s">
        <v>36</v>
      </c>
      <c r="C451" s="1">
        <v>2022</v>
      </c>
      <c r="D451" s="1" t="s">
        <v>38</v>
      </c>
      <c r="E451" s="1" t="s">
        <v>106</v>
      </c>
      <c r="F451" s="1" t="s">
        <v>107</v>
      </c>
      <c r="G451" s="1">
        <v>0</v>
      </c>
      <c r="H451" s="1" t="s">
        <v>434</v>
      </c>
      <c r="I451" s="1" t="s">
        <v>1305</v>
      </c>
      <c r="J451" s="1" t="s">
        <v>1295</v>
      </c>
      <c r="K451" s="1" t="s">
        <v>1306</v>
      </c>
      <c r="L451" s="1" t="s">
        <v>140</v>
      </c>
      <c r="M451" s="1" t="s">
        <v>51</v>
      </c>
      <c r="N451" s="1"/>
      <c r="O451" s="1">
        <f t="shared" si="7"/>
        <v>0</v>
      </c>
      <c r="P451" s="1" t="s">
        <v>454</v>
      </c>
    </row>
    <row r="452" spans="1:16" ht="69.25" customHeight="1">
      <c r="A452" s="1" t="s">
        <v>9</v>
      </c>
      <c r="B452" s="1" t="s">
        <v>36</v>
      </c>
      <c r="C452" s="1">
        <v>2023</v>
      </c>
      <c r="D452" s="1" t="s">
        <v>38</v>
      </c>
      <c r="E452" s="1" t="s">
        <v>70</v>
      </c>
      <c r="F452" s="1" t="s">
        <v>71</v>
      </c>
      <c r="G452" s="1">
        <v>0</v>
      </c>
      <c r="H452" s="1" t="s">
        <v>434</v>
      </c>
      <c r="I452" s="1" t="s">
        <v>440</v>
      </c>
      <c r="J452" s="1" t="s">
        <v>1307</v>
      </c>
      <c r="K452" s="1"/>
      <c r="L452" s="1" t="s">
        <v>140</v>
      </c>
      <c r="M452" s="1" t="s">
        <v>51</v>
      </c>
      <c r="N452" s="1"/>
      <c r="O452" s="1">
        <f t="shared" si="7"/>
        <v>0</v>
      </c>
      <c r="P452" s="1" t="s">
        <v>1308</v>
      </c>
    </row>
    <row r="453" spans="1:16" ht="69.25" customHeight="1">
      <c r="A453" s="1" t="s">
        <v>9</v>
      </c>
      <c r="B453" s="1" t="s">
        <v>36</v>
      </c>
      <c r="C453" s="1">
        <v>2023</v>
      </c>
      <c r="D453" s="1" t="s">
        <v>38</v>
      </c>
      <c r="E453" s="1" t="s">
        <v>74</v>
      </c>
      <c r="F453" s="1" t="s">
        <v>75</v>
      </c>
      <c r="G453" s="1">
        <v>0</v>
      </c>
      <c r="H453" s="1" t="s">
        <v>434</v>
      </c>
      <c r="I453" s="1" t="s">
        <v>1309</v>
      </c>
      <c r="J453" s="1" t="s">
        <v>1307</v>
      </c>
      <c r="K453" s="1" t="s">
        <v>540</v>
      </c>
      <c r="L453" s="1" t="s">
        <v>140</v>
      </c>
      <c r="M453" s="1" t="s">
        <v>51</v>
      </c>
      <c r="N453" s="1"/>
      <c r="O453" s="1">
        <f t="shared" si="7"/>
        <v>0</v>
      </c>
      <c r="P453" s="1" t="s">
        <v>437</v>
      </c>
    </row>
    <row r="454" spans="1:16" ht="69.25" customHeight="1">
      <c r="A454" s="1" t="s">
        <v>9</v>
      </c>
      <c r="B454" s="1" t="s">
        <v>36</v>
      </c>
      <c r="C454" s="1">
        <v>2023</v>
      </c>
      <c r="D454" s="1" t="s">
        <v>38</v>
      </c>
      <c r="E454" s="1" t="s">
        <v>78</v>
      </c>
      <c r="F454" s="1" t="s">
        <v>79</v>
      </c>
      <c r="G454" s="1">
        <v>0</v>
      </c>
      <c r="H454" s="1" t="s">
        <v>434</v>
      </c>
      <c r="I454" s="1" t="s">
        <v>1310</v>
      </c>
      <c r="J454" s="1" t="s">
        <v>1307</v>
      </c>
      <c r="K454" s="1" t="s">
        <v>561</v>
      </c>
      <c r="L454" s="1" t="s">
        <v>140</v>
      </c>
      <c r="M454" s="1" t="s">
        <v>51</v>
      </c>
      <c r="N454" s="1"/>
      <c r="O454" s="1">
        <f t="shared" si="7"/>
        <v>0</v>
      </c>
      <c r="P454" s="1" t="s">
        <v>439</v>
      </c>
    </row>
    <row r="455" spans="1:16" ht="69.25" customHeight="1">
      <c r="A455" s="1" t="s">
        <v>9</v>
      </c>
      <c r="B455" s="1" t="s">
        <v>36</v>
      </c>
      <c r="C455" s="1">
        <v>2023</v>
      </c>
      <c r="D455" s="1" t="s">
        <v>38</v>
      </c>
      <c r="E455" s="1" t="s">
        <v>82</v>
      </c>
      <c r="F455" s="1" t="s">
        <v>83</v>
      </c>
      <c r="G455" s="1">
        <v>0</v>
      </c>
      <c r="H455" s="1" t="s">
        <v>434</v>
      </c>
      <c r="I455" s="1" t="s">
        <v>440</v>
      </c>
      <c r="J455" s="1" t="s">
        <v>1307</v>
      </c>
      <c r="K455" s="1"/>
      <c r="L455" s="1" t="s">
        <v>140</v>
      </c>
      <c r="M455" s="1" t="s">
        <v>51</v>
      </c>
      <c r="N455" s="1"/>
      <c r="O455" s="1">
        <f t="shared" si="7"/>
        <v>0</v>
      </c>
      <c r="P455" s="1" t="s">
        <v>441</v>
      </c>
    </row>
    <row r="456" spans="1:16" ht="69.25" customHeight="1">
      <c r="A456" s="1" t="s">
        <v>9</v>
      </c>
      <c r="B456" s="1" t="s">
        <v>36</v>
      </c>
      <c r="C456" s="1">
        <v>2023</v>
      </c>
      <c r="D456" s="1" t="s">
        <v>38</v>
      </c>
      <c r="E456" s="1" t="s">
        <v>86</v>
      </c>
      <c r="F456" s="1" t="s">
        <v>87</v>
      </c>
      <c r="G456" s="1">
        <v>0</v>
      </c>
      <c r="H456" s="1" t="s">
        <v>434</v>
      </c>
      <c r="I456" s="1" t="s">
        <v>440</v>
      </c>
      <c r="J456" s="1" t="s">
        <v>1307</v>
      </c>
      <c r="K456" s="1"/>
      <c r="L456" s="1" t="s">
        <v>140</v>
      </c>
      <c r="M456" s="1" t="s">
        <v>51</v>
      </c>
      <c r="N456" s="1"/>
      <c r="O456" s="1">
        <f t="shared" si="7"/>
        <v>0</v>
      </c>
      <c r="P456" s="1" t="s">
        <v>441</v>
      </c>
    </row>
    <row r="457" spans="1:16" ht="69.25" customHeight="1">
      <c r="A457" s="1" t="s">
        <v>9</v>
      </c>
      <c r="B457" s="1" t="s">
        <v>36</v>
      </c>
      <c r="C457" s="1">
        <v>2023</v>
      </c>
      <c r="D457" s="1" t="s">
        <v>38</v>
      </c>
      <c r="E457" s="1" t="s">
        <v>90</v>
      </c>
      <c r="F457" s="1" t="s">
        <v>91</v>
      </c>
      <c r="G457" s="1">
        <v>0</v>
      </c>
      <c r="H457" s="1" t="s">
        <v>434</v>
      </c>
      <c r="I457" s="1" t="s">
        <v>1311</v>
      </c>
      <c r="J457" s="1" t="s">
        <v>1307</v>
      </c>
      <c r="K457" s="1" t="s">
        <v>563</v>
      </c>
      <c r="L457" s="1" t="s">
        <v>140</v>
      </c>
      <c r="M457" s="1" t="s">
        <v>51</v>
      </c>
      <c r="N457" s="1"/>
      <c r="O457" s="1">
        <f t="shared" si="7"/>
        <v>0</v>
      </c>
      <c r="P457" s="1" t="s">
        <v>444</v>
      </c>
    </row>
    <row r="458" spans="1:16" ht="69.25" customHeight="1">
      <c r="A458" s="1" t="s">
        <v>9</v>
      </c>
      <c r="B458" s="1" t="s">
        <v>36</v>
      </c>
      <c r="C458" s="1">
        <v>2023</v>
      </c>
      <c r="D458" s="1" t="s">
        <v>38</v>
      </c>
      <c r="E458" s="1" t="s">
        <v>94</v>
      </c>
      <c r="F458" s="1" t="s">
        <v>95</v>
      </c>
      <c r="G458" s="1">
        <v>0</v>
      </c>
      <c r="H458" s="1" t="s">
        <v>445</v>
      </c>
      <c r="I458" s="1" t="s">
        <v>1312</v>
      </c>
      <c r="J458" s="1" t="s">
        <v>1307</v>
      </c>
      <c r="K458" s="1" t="s">
        <v>459</v>
      </c>
      <c r="L458" s="1" t="s">
        <v>140</v>
      </c>
      <c r="M458" s="1" t="s">
        <v>51</v>
      </c>
      <c r="N458" s="1"/>
      <c r="O458" s="1">
        <f t="shared" si="7"/>
        <v>0</v>
      </c>
      <c r="P458" s="1" t="s">
        <v>448</v>
      </c>
    </row>
    <row r="459" spans="1:16" ht="69.25" customHeight="1">
      <c r="A459" s="1" t="s">
        <v>9</v>
      </c>
      <c r="B459" s="1" t="s">
        <v>36</v>
      </c>
      <c r="C459" s="1">
        <v>2023</v>
      </c>
      <c r="D459" s="1" t="s">
        <v>38</v>
      </c>
      <c r="E459" s="1" t="s">
        <v>98</v>
      </c>
      <c r="F459" s="1" t="s">
        <v>99</v>
      </c>
      <c r="G459" s="1">
        <v>0</v>
      </c>
      <c r="H459" s="1" t="s">
        <v>445</v>
      </c>
      <c r="I459" s="1" t="s">
        <v>1313</v>
      </c>
      <c r="J459" s="1" t="s">
        <v>1307</v>
      </c>
      <c r="K459" s="1" t="s">
        <v>1314</v>
      </c>
      <c r="L459" s="1" t="s">
        <v>140</v>
      </c>
      <c r="M459" s="1" t="s">
        <v>51</v>
      </c>
      <c r="N459" s="1"/>
      <c r="O459" s="1">
        <f t="shared" si="7"/>
        <v>0</v>
      </c>
      <c r="P459" s="1" t="s">
        <v>448</v>
      </c>
    </row>
    <row r="460" spans="1:16" ht="69.25" customHeight="1">
      <c r="A460" s="1" t="s">
        <v>9</v>
      </c>
      <c r="B460" s="1" t="s">
        <v>36</v>
      </c>
      <c r="C460" s="1">
        <v>2023</v>
      </c>
      <c r="D460" s="1" t="s">
        <v>38</v>
      </c>
      <c r="E460" s="1" t="s">
        <v>102</v>
      </c>
      <c r="F460" s="1" t="s">
        <v>103</v>
      </c>
      <c r="G460" s="1">
        <v>0</v>
      </c>
      <c r="H460" s="1" t="s">
        <v>434</v>
      </c>
      <c r="I460" s="1" t="s">
        <v>1309</v>
      </c>
      <c r="J460" s="1" t="s">
        <v>1307</v>
      </c>
      <c r="K460" s="1" t="s">
        <v>540</v>
      </c>
      <c r="L460" s="1" t="s">
        <v>140</v>
      </c>
      <c r="M460" s="1" t="s">
        <v>51</v>
      </c>
      <c r="N460" s="1"/>
      <c r="O460" s="1">
        <f t="shared" si="7"/>
        <v>0</v>
      </c>
      <c r="P460" s="1" t="s">
        <v>452</v>
      </c>
    </row>
    <row r="461" spans="1:16" ht="69.25" customHeight="1">
      <c r="A461" s="1" t="s">
        <v>9</v>
      </c>
      <c r="B461" s="1" t="s">
        <v>36</v>
      </c>
      <c r="C461" s="1">
        <v>2023</v>
      </c>
      <c r="D461" s="1" t="s">
        <v>38</v>
      </c>
      <c r="E461" s="1" t="s">
        <v>106</v>
      </c>
      <c r="F461" s="1" t="s">
        <v>107</v>
      </c>
      <c r="G461" s="1">
        <v>0</v>
      </c>
      <c r="H461" s="1" t="s">
        <v>434</v>
      </c>
      <c r="I461" s="1" t="s">
        <v>1315</v>
      </c>
      <c r="J461" s="1" t="s">
        <v>1307</v>
      </c>
      <c r="K461" s="1" t="s">
        <v>565</v>
      </c>
      <c r="L461" s="1" t="s">
        <v>140</v>
      </c>
      <c r="M461" s="1" t="s">
        <v>51</v>
      </c>
      <c r="N461" s="1"/>
      <c r="O461" s="1">
        <f t="shared" si="7"/>
        <v>0</v>
      </c>
      <c r="P461" s="1" t="s">
        <v>454</v>
      </c>
    </row>
    <row r="462" spans="1:16" ht="69.25" customHeight="1">
      <c r="A462" s="1" t="s">
        <v>9</v>
      </c>
      <c r="B462" s="1" t="s">
        <v>36</v>
      </c>
      <c r="C462" s="1">
        <v>2024</v>
      </c>
      <c r="D462" s="1" t="s">
        <v>38</v>
      </c>
      <c r="E462" s="1" t="s">
        <v>70</v>
      </c>
      <c r="F462" s="1" t="s">
        <v>71</v>
      </c>
      <c r="G462" s="1">
        <v>0</v>
      </c>
      <c r="H462" s="1" t="s">
        <v>434</v>
      </c>
      <c r="I462" s="1" t="s">
        <v>1316</v>
      </c>
      <c r="J462" s="1" t="s">
        <v>1317</v>
      </c>
      <c r="K462" s="1" t="s">
        <v>1318</v>
      </c>
      <c r="L462" s="1" t="s">
        <v>140</v>
      </c>
      <c r="M462" s="1" t="s">
        <v>51</v>
      </c>
      <c r="N462" s="1"/>
      <c r="O462" s="1">
        <f t="shared" si="7"/>
        <v>0</v>
      </c>
      <c r="P462" s="1" t="s">
        <v>1319</v>
      </c>
    </row>
    <row r="463" spans="1:16" ht="69.25" customHeight="1">
      <c r="A463" s="1" t="s">
        <v>9</v>
      </c>
      <c r="B463" s="1" t="s">
        <v>36</v>
      </c>
      <c r="C463" s="1">
        <v>2024</v>
      </c>
      <c r="D463" s="1" t="s">
        <v>38</v>
      </c>
      <c r="E463" s="1" t="s">
        <v>74</v>
      </c>
      <c r="F463" s="1" t="s">
        <v>75</v>
      </c>
      <c r="G463" s="1">
        <v>0</v>
      </c>
      <c r="H463" s="1" t="s">
        <v>434</v>
      </c>
      <c r="I463" s="1" t="s">
        <v>1320</v>
      </c>
      <c r="J463" s="1" t="s">
        <v>1317</v>
      </c>
      <c r="K463" s="1" t="s">
        <v>629</v>
      </c>
      <c r="L463" s="1" t="s">
        <v>140</v>
      </c>
      <c r="M463" s="1" t="s">
        <v>51</v>
      </c>
      <c r="N463" s="1"/>
      <c r="O463" s="1">
        <f t="shared" si="7"/>
        <v>0</v>
      </c>
      <c r="P463" s="1" t="s">
        <v>437</v>
      </c>
    </row>
    <row r="464" spans="1:16" ht="69.25" customHeight="1">
      <c r="A464" s="1" t="s">
        <v>9</v>
      </c>
      <c r="B464" s="1" t="s">
        <v>36</v>
      </c>
      <c r="C464" s="1">
        <v>2024</v>
      </c>
      <c r="D464" s="1" t="s">
        <v>38</v>
      </c>
      <c r="E464" s="1" t="s">
        <v>78</v>
      </c>
      <c r="F464" s="1" t="s">
        <v>79</v>
      </c>
      <c r="G464" s="1">
        <v>0</v>
      </c>
      <c r="H464" s="1" t="s">
        <v>434</v>
      </c>
      <c r="I464" s="1" t="s">
        <v>1321</v>
      </c>
      <c r="J464" s="1" t="s">
        <v>1317</v>
      </c>
      <c r="K464" s="1" t="s">
        <v>1322</v>
      </c>
      <c r="L464" s="1" t="s">
        <v>140</v>
      </c>
      <c r="M464" s="1" t="s">
        <v>51</v>
      </c>
      <c r="N464" s="1"/>
      <c r="O464" s="1">
        <f t="shared" si="7"/>
        <v>0</v>
      </c>
      <c r="P464" s="1" t="s">
        <v>439</v>
      </c>
    </row>
    <row r="465" spans="1:16" ht="69.25" customHeight="1">
      <c r="A465" s="1" t="s">
        <v>9</v>
      </c>
      <c r="B465" s="1" t="s">
        <v>36</v>
      </c>
      <c r="C465" s="1">
        <v>2024</v>
      </c>
      <c r="D465" s="1" t="s">
        <v>38</v>
      </c>
      <c r="E465" s="1" t="s">
        <v>82</v>
      </c>
      <c r="F465" s="1" t="s">
        <v>83</v>
      </c>
      <c r="G465" s="1">
        <v>0</v>
      </c>
      <c r="H465" s="1" t="s">
        <v>434</v>
      </c>
      <c r="I465" s="1" t="s">
        <v>440</v>
      </c>
      <c r="J465" s="1" t="s">
        <v>1317</v>
      </c>
      <c r="K465" s="1"/>
      <c r="L465" s="1" t="s">
        <v>140</v>
      </c>
      <c r="M465" s="1" t="s">
        <v>51</v>
      </c>
      <c r="N465" s="1"/>
      <c r="O465" s="1">
        <f t="shared" si="7"/>
        <v>0</v>
      </c>
      <c r="P465" s="1" t="s">
        <v>441</v>
      </c>
    </row>
    <row r="466" spans="1:16" ht="69.25" customHeight="1">
      <c r="A466" s="1" t="s">
        <v>9</v>
      </c>
      <c r="B466" s="1" t="s">
        <v>36</v>
      </c>
      <c r="C466" s="1">
        <v>2024</v>
      </c>
      <c r="D466" s="1" t="s">
        <v>38</v>
      </c>
      <c r="E466" s="1" t="s">
        <v>86</v>
      </c>
      <c r="F466" s="1" t="s">
        <v>87</v>
      </c>
      <c r="G466" s="1">
        <v>0</v>
      </c>
      <c r="H466" s="1" t="s">
        <v>434</v>
      </c>
      <c r="I466" s="1" t="s">
        <v>440</v>
      </c>
      <c r="J466" s="1" t="s">
        <v>1317</v>
      </c>
      <c r="K466" s="1"/>
      <c r="L466" s="1" t="s">
        <v>140</v>
      </c>
      <c r="M466" s="1" t="s">
        <v>51</v>
      </c>
      <c r="N466" s="1"/>
      <c r="O466" s="1">
        <f t="shared" si="7"/>
        <v>0</v>
      </c>
      <c r="P466" s="1" t="s">
        <v>441</v>
      </c>
    </row>
    <row r="467" spans="1:16" ht="69.25" customHeight="1">
      <c r="A467" s="1" t="s">
        <v>9</v>
      </c>
      <c r="B467" s="1" t="s">
        <v>36</v>
      </c>
      <c r="C467" s="1">
        <v>2024</v>
      </c>
      <c r="D467" s="1" t="s">
        <v>38</v>
      </c>
      <c r="E467" s="1" t="s">
        <v>90</v>
      </c>
      <c r="F467" s="1" t="s">
        <v>91</v>
      </c>
      <c r="G467" s="1">
        <v>0</v>
      </c>
      <c r="H467" s="1" t="s">
        <v>434</v>
      </c>
      <c r="I467" s="1" t="s">
        <v>1323</v>
      </c>
      <c r="J467" s="1" t="s">
        <v>1317</v>
      </c>
      <c r="K467" s="1" t="s">
        <v>1324</v>
      </c>
      <c r="L467" s="1" t="s">
        <v>140</v>
      </c>
      <c r="M467" s="1" t="s">
        <v>51</v>
      </c>
      <c r="N467" s="1"/>
      <c r="O467" s="1">
        <f t="shared" si="7"/>
        <v>0</v>
      </c>
      <c r="P467" s="1" t="s">
        <v>444</v>
      </c>
    </row>
    <row r="468" spans="1:16" ht="69.25" customHeight="1">
      <c r="A468" s="1" t="s">
        <v>9</v>
      </c>
      <c r="B468" s="1" t="s">
        <v>36</v>
      </c>
      <c r="C468" s="1">
        <v>2024</v>
      </c>
      <c r="D468" s="1" t="s">
        <v>38</v>
      </c>
      <c r="E468" s="1" t="s">
        <v>94</v>
      </c>
      <c r="F468" s="1" t="s">
        <v>95</v>
      </c>
      <c r="G468" s="1">
        <v>0</v>
      </c>
      <c r="H468" s="1" t="s">
        <v>445</v>
      </c>
      <c r="I468" s="1" t="s">
        <v>1325</v>
      </c>
      <c r="J468" s="1" t="s">
        <v>1317</v>
      </c>
      <c r="K468" s="1" t="s">
        <v>767</v>
      </c>
      <c r="L468" s="1" t="s">
        <v>140</v>
      </c>
      <c r="M468" s="1" t="s">
        <v>51</v>
      </c>
      <c r="N468" s="1"/>
      <c r="O468" s="1">
        <f t="shared" si="7"/>
        <v>0</v>
      </c>
      <c r="P468" s="1" t="s">
        <v>448</v>
      </c>
    </row>
    <row r="469" spans="1:16" ht="69.25" customHeight="1">
      <c r="A469" s="1" t="s">
        <v>9</v>
      </c>
      <c r="B469" s="1" t="s">
        <v>36</v>
      </c>
      <c r="C469" s="1">
        <v>2024</v>
      </c>
      <c r="D469" s="1" t="s">
        <v>38</v>
      </c>
      <c r="E469" s="1" t="s">
        <v>98</v>
      </c>
      <c r="F469" s="1" t="s">
        <v>99</v>
      </c>
      <c r="G469" s="1">
        <v>0</v>
      </c>
      <c r="H469" s="1" t="s">
        <v>445</v>
      </c>
      <c r="I469" s="1" t="s">
        <v>1326</v>
      </c>
      <c r="J469" s="1" t="s">
        <v>1317</v>
      </c>
      <c r="K469" s="1" t="s">
        <v>1327</v>
      </c>
      <c r="L469" s="1" t="s">
        <v>140</v>
      </c>
      <c r="M469" s="1" t="s">
        <v>51</v>
      </c>
      <c r="N469" s="1"/>
      <c r="O469" s="1">
        <f t="shared" si="7"/>
        <v>0</v>
      </c>
      <c r="P469" s="1" t="s">
        <v>448</v>
      </c>
    </row>
    <row r="470" spans="1:16" ht="69.25" customHeight="1">
      <c r="A470" s="1" t="s">
        <v>9</v>
      </c>
      <c r="B470" s="1" t="s">
        <v>36</v>
      </c>
      <c r="C470" s="1">
        <v>2024</v>
      </c>
      <c r="D470" s="1" t="s">
        <v>38</v>
      </c>
      <c r="E470" s="1" t="s">
        <v>102</v>
      </c>
      <c r="F470" s="1" t="s">
        <v>103</v>
      </c>
      <c r="G470" s="1">
        <v>0</v>
      </c>
      <c r="H470" s="1" t="s">
        <v>434</v>
      </c>
      <c r="I470" s="1" t="s">
        <v>1320</v>
      </c>
      <c r="J470" s="1" t="s">
        <v>1317</v>
      </c>
      <c r="K470" s="1" t="s">
        <v>629</v>
      </c>
      <c r="L470" s="1" t="s">
        <v>140</v>
      </c>
      <c r="M470" s="1" t="s">
        <v>51</v>
      </c>
      <c r="N470" s="1"/>
      <c r="O470" s="1">
        <f t="shared" si="7"/>
        <v>0</v>
      </c>
      <c r="P470" s="1" t="s">
        <v>452</v>
      </c>
    </row>
    <row r="471" spans="1:16" ht="69.25" customHeight="1">
      <c r="A471" s="1" t="s">
        <v>9</v>
      </c>
      <c r="B471" s="1" t="s">
        <v>36</v>
      </c>
      <c r="C471" s="1">
        <v>2024</v>
      </c>
      <c r="D471" s="1" t="s">
        <v>38</v>
      </c>
      <c r="E471" s="1" t="s">
        <v>106</v>
      </c>
      <c r="F471" s="1" t="s">
        <v>107</v>
      </c>
      <c r="G471" s="1">
        <v>0</v>
      </c>
      <c r="H471" s="1" t="s">
        <v>434</v>
      </c>
      <c r="I471" s="1" t="s">
        <v>1328</v>
      </c>
      <c r="J471" s="1" t="s">
        <v>1317</v>
      </c>
      <c r="K471" s="1" t="s">
        <v>923</v>
      </c>
      <c r="L471" s="1" t="s">
        <v>140</v>
      </c>
      <c r="M471" s="1" t="s">
        <v>51</v>
      </c>
      <c r="N471" s="1"/>
      <c r="O471" s="1">
        <f t="shared" si="7"/>
        <v>0</v>
      </c>
      <c r="P471" s="1" t="s">
        <v>454</v>
      </c>
    </row>
    <row r="472" spans="1:16" ht="69.25" customHeight="1">
      <c r="A472" s="1" t="s">
        <v>9</v>
      </c>
      <c r="B472" s="1" t="s">
        <v>36</v>
      </c>
      <c r="C472" s="1">
        <v>2025</v>
      </c>
      <c r="D472" s="1" t="s">
        <v>38</v>
      </c>
      <c r="E472" s="1" t="s">
        <v>70</v>
      </c>
      <c r="F472" s="1" t="s">
        <v>71</v>
      </c>
      <c r="G472" s="1">
        <v>0</v>
      </c>
      <c r="H472" s="1" t="s">
        <v>445</v>
      </c>
      <c r="I472" s="1" t="s">
        <v>1329</v>
      </c>
      <c r="J472" s="1" t="s">
        <v>1330</v>
      </c>
      <c r="K472" s="1" t="s">
        <v>993</v>
      </c>
      <c r="L472" s="1" t="s">
        <v>140</v>
      </c>
      <c r="M472" s="1" t="s">
        <v>51</v>
      </c>
      <c r="N472" s="1"/>
      <c r="O472" s="1">
        <f t="shared" si="7"/>
        <v>0</v>
      </c>
      <c r="P472" s="1" t="s">
        <v>448</v>
      </c>
    </row>
    <row r="473" spans="1:16" ht="69.25" customHeight="1">
      <c r="A473" s="1" t="s">
        <v>9</v>
      </c>
      <c r="B473" s="1" t="s">
        <v>36</v>
      </c>
      <c r="C473" s="1">
        <v>2025</v>
      </c>
      <c r="D473" s="1" t="s">
        <v>38</v>
      </c>
      <c r="E473" s="1" t="s">
        <v>74</v>
      </c>
      <c r="F473" s="1" t="s">
        <v>75</v>
      </c>
      <c r="G473" s="1">
        <v>0</v>
      </c>
      <c r="H473" s="1" t="s">
        <v>434</v>
      </c>
      <c r="I473" s="1" t="s">
        <v>1331</v>
      </c>
      <c r="J473" s="1" t="s">
        <v>1330</v>
      </c>
      <c r="K473" s="1" t="s">
        <v>786</v>
      </c>
      <c r="L473" s="1" t="s">
        <v>140</v>
      </c>
      <c r="M473" s="1" t="s">
        <v>51</v>
      </c>
      <c r="N473" s="1"/>
      <c r="O473" s="1">
        <f t="shared" si="7"/>
        <v>0</v>
      </c>
      <c r="P473" s="1" t="s">
        <v>437</v>
      </c>
    </row>
    <row r="474" spans="1:16" ht="69.25" customHeight="1">
      <c r="A474" s="1" t="s">
        <v>9</v>
      </c>
      <c r="B474" s="1" t="s">
        <v>36</v>
      </c>
      <c r="C474" s="1">
        <v>2025</v>
      </c>
      <c r="D474" s="1" t="s">
        <v>38</v>
      </c>
      <c r="E474" s="1" t="s">
        <v>78</v>
      </c>
      <c r="F474" s="1" t="s">
        <v>79</v>
      </c>
      <c r="G474" s="1">
        <v>0</v>
      </c>
      <c r="H474" s="1" t="s">
        <v>434</v>
      </c>
      <c r="I474" s="1" t="s">
        <v>1332</v>
      </c>
      <c r="J474" s="1" t="s">
        <v>1330</v>
      </c>
      <c r="K474" s="1" t="s">
        <v>1333</v>
      </c>
      <c r="L474" s="1" t="s">
        <v>140</v>
      </c>
      <c r="M474" s="1" t="s">
        <v>51</v>
      </c>
      <c r="N474" s="1"/>
      <c r="O474" s="1">
        <f t="shared" si="7"/>
        <v>0</v>
      </c>
      <c r="P474" s="1" t="s">
        <v>439</v>
      </c>
    </row>
    <row r="475" spans="1:16" ht="69.25" customHeight="1">
      <c r="A475" s="1" t="s">
        <v>9</v>
      </c>
      <c r="B475" s="1" t="s">
        <v>36</v>
      </c>
      <c r="C475" s="1">
        <v>2025</v>
      </c>
      <c r="D475" s="1" t="s">
        <v>38</v>
      </c>
      <c r="E475" s="1" t="s">
        <v>82</v>
      </c>
      <c r="F475" s="1" t="s">
        <v>83</v>
      </c>
      <c r="G475" s="1">
        <v>0</v>
      </c>
      <c r="H475" s="1" t="s">
        <v>434</v>
      </c>
      <c r="I475" s="1" t="s">
        <v>440</v>
      </c>
      <c r="J475" s="1" t="s">
        <v>1330</v>
      </c>
      <c r="K475" s="1"/>
      <c r="L475" s="1" t="s">
        <v>140</v>
      </c>
      <c r="M475" s="1" t="s">
        <v>51</v>
      </c>
      <c r="N475" s="1"/>
      <c r="O475" s="1">
        <f t="shared" si="7"/>
        <v>0</v>
      </c>
      <c r="P475" s="1" t="s">
        <v>441</v>
      </c>
    </row>
    <row r="476" spans="1:16" ht="69.25" customHeight="1">
      <c r="A476" s="1" t="s">
        <v>9</v>
      </c>
      <c r="B476" s="1" t="s">
        <v>36</v>
      </c>
      <c r="C476" s="1">
        <v>2025</v>
      </c>
      <c r="D476" s="1" t="s">
        <v>38</v>
      </c>
      <c r="E476" s="1" t="s">
        <v>86</v>
      </c>
      <c r="F476" s="1" t="s">
        <v>87</v>
      </c>
      <c r="G476" s="1">
        <v>0</v>
      </c>
      <c r="H476" s="1" t="s">
        <v>434</v>
      </c>
      <c r="I476" s="1" t="s">
        <v>440</v>
      </c>
      <c r="J476" s="1" t="s">
        <v>1330</v>
      </c>
      <c r="K476" s="1"/>
      <c r="L476" s="1" t="s">
        <v>140</v>
      </c>
      <c r="M476" s="1" t="s">
        <v>51</v>
      </c>
      <c r="N476" s="1"/>
      <c r="O476" s="1">
        <f t="shared" si="7"/>
        <v>0</v>
      </c>
      <c r="P476" s="1" t="s">
        <v>441</v>
      </c>
    </row>
    <row r="477" spans="1:16" ht="69.25" customHeight="1">
      <c r="A477" s="1" t="s">
        <v>9</v>
      </c>
      <c r="B477" s="1" t="s">
        <v>36</v>
      </c>
      <c r="C477" s="1">
        <v>2025</v>
      </c>
      <c r="D477" s="1" t="s">
        <v>38</v>
      </c>
      <c r="E477" s="1" t="s">
        <v>90</v>
      </c>
      <c r="F477" s="1" t="s">
        <v>91</v>
      </c>
      <c r="G477" s="1">
        <v>0</v>
      </c>
      <c r="H477" s="1" t="s">
        <v>434</v>
      </c>
      <c r="I477" s="1" t="s">
        <v>1334</v>
      </c>
      <c r="J477" s="1" t="s">
        <v>1330</v>
      </c>
      <c r="K477" s="1" t="s">
        <v>1335</v>
      </c>
      <c r="L477" s="1" t="s">
        <v>140</v>
      </c>
      <c r="M477" s="1" t="s">
        <v>51</v>
      </c>
      <c r="N477" s="1"/>
      <c r="O477" s="1">
        <f t="shared" si="7"/>
        <v>0</v>
      </c>
      <c r="P477" s="1" t="s">
        <v>444</v>
      </c>
    </row>
    <row r="478" spans="1:16" ht="69.25" customHeight="1">
      <c r="A478" s="1" t="s">
        <v>9</v>
      </c>
      <c r="B478" s="1" t="s">
        <v>36</v>
      </c>
      <c r="C478" s="1">
        <v>2025</v>
      </c>
      <c r="D478" s="1" t="s">
        <v>38</v>
      </c>
      <c r="E478" s="1" t="s">
        <v>94</v>
      </c>
      <c r="F478" s="1" t="s">
        <v>95</v>
      </c>
      <c r="G478" s="1">
        <v>0</v>
      </c>
      <c r="H478" s="1" t="s">
        <v>445</v>
      </c>
      <c r="I478" s="1" t="s">
        <v>1336</v>
      </c>
      <c r="J478" s="1" t="s">
        <v>1330</v>
      </c>
      <c r="K478" s="1" t="s">
        <v>1172</v>
      </c>
      <c r="L478" s="1" t="s">
        <v>140</v>
      </c>
      <c r="M478" s="1" t="s">
        <v>51</v>
      </c>
      <c r="N478" s="1"/>
      <c r="O478" s="1">
        <f t="shared" si="7"/>
        <v>0</v>
      </c>
      <c r="P478" s="1" t="s">
        <v>448</v>
      </c>
    </row>
    <row r="479" spans="1:16" ht="69.25" customHeight="1">
      <c r="A479" s="1" t="s">
        <v>9</v>
      </c>
      <c r="B479" s="1" t="s">
        <v>36</v>
      </c>
      <c r="C479" s="1">
        <v>2025</v>
      </c>
      <c r="D479" s="1" t="s">
        <v>38</v>
      </c>
      <c r="E479" s="1" t="s">
        <v>98</v>
      </c>
      <c r="F479" s="1" t="s">
        <v>99</v>
      </c>
      <c r="G479" s="1">
        <v>0</v>
      </c>
      <c r="H479" s="1" t="s">
        <v>445</v>
      </c>
      <c r="I479" s="1" t="s">
        <v>1337</v>
      </c>
      <c r="J479" s="1" t="s">
        <v>1330</v>
      </c>
      <c r="K479" s="1" t="s">
        <v>1245</v>
      </c>
      <c r="L479" s="1" t="s">
        <v>140</v>
      </c>
      <c r="M479" s="1" t="s">
        <v>51</v>
      </c>
      <c r="N479" s="1"/>
      <c r="O479" s="1">
        <f t="shared" si="7"/>
        <v>0</v>
      </c>
      <c r="P479" s="1" t="s">
        <v>448</v>
      </c>
    </row>
    <row r="480" spans="1:16" ht="69.25" customHeight="1">
      <c r="A480" s="1" t="s">
        <v>9</v>
      </c>
      <c r="B480" s="1" t="s">
        <v>36</v>
      </c>
      <c r="C480" s="1">
        <v>2025</v>
      </c>
      <c r="D480" s="1" t="s">
        <v>38</v>
      </c>
      <c r="E480" s="1" t="s">
        <v>102</v>
      </c>
      <c r="F480" s="1" t="s">
        <v>103</v>
      </c>
      <c r="G480" s="1">
        <v>1</v>
      </c>
      <c r="H480" s="1" t="s">
        <v>429</v>
      </c>
      <c r="I480" s="1" t="s">
        <v>1338</v>
      </c>
      <c r="J480" s="1" t="s">
        <v>1330</v>
      </c>
      <c r="K480" s="1" t="s">
        <v>1302</v>
      </c>
      <c r="L480" s="1" t="s">
        <v>140</v>
      </c>
      <c r="M480" s="1" t="s">
        <v>51</v>
      </c>
      <c r="N480" s="1"/>
      <c r="O480" s="1">
        <f t="shared" si="7"/>
        <v>1</v>
      </c>
      <c r="P480" s="1" t="s">
        <v>475</v>
      </c>
    </row>
    <row r="481" spans="1:16" ht="69.25" customHeight="1">
      <c r="A481" s="1" t="s">
        <v>9</v>
      </c>
      <c r="B481" s="1" t="s">
        <v>36</v>
      </c>
      <c r="C481" s="1">
        <v>2025</v>
      </c>
      <c r="D481" s="1" t="s">
        <v>38</v>
      </c>
      <c r="E481" s="1" t="s">
        <v>106</v>
      </c>
      <c r="F481" s="1" t="s">
        <v>107</v>
      </c>
      <c r="G481" s="1">
        <v>0</v>
      </c>
      <c r="H481" s="1" t="s">
        <v>434</v>
      </c>
      <c r="I481" s="1" t="s">
        <v>1339</v>
      </c>
      <c r="J481" s="1" t="s">
        <v>1330</v>
      </c>
      <c r="K481" s="1" t="s">
        <v>1340</v>
      </c>
      <c r="L481" s="1" t="s">
        <v>140</v>
      </c>
      <c r="M481" s="1" t="s">
        <v>51</v>
      </c>
      <c r="N481" s="1"/>
      <c r="O481" s="1">
        <f t="shared" si="7"/>
        <v>0</v>
      </c>
      <c r="P481" s="1" t="s">
        <v>454</v>
      </c>
    </row>
    <row r="482" spans="1:16" ht="69.25" customHeight="1">
      <c r="A482" s="1" t="s">
        <v>9</v>
      </c>
      <c r="B482" s="1" t="s">
        <v>39</v>
      </c>
      <c r="C482" s="1">
        <v>2022</v>
      </c>
      <c r="D482" s="1" t="s">
        <v>18</v>
      </c>
      <c r="E482" s="1" t="s">
        <v>70</v>
      </c>
      <c r="F482" s="1" t="s">
        <v>71</v>
      </c>
      <c r="G482" s="1">
        <v>0</v>
      </c>
      <c r="H482" s="1" t="s">
        <v>434</v>
      </c>
      <c r="I482" s="1" t="s">
        <v>1341</v>
      </c>
      <c r="J482" s="1" t="s">
        <v>1342</v>
      </c>
      <c r="K482" s="1" t="s">
        <v>704</v>
      </c>
      <c r="L482" s="1" t="s">
        <v>143</v>
      </c>
      <c r="M482" s="1" t="s">
        <v>51</v>
      </c>
      <c r="N482" s="1"/>
      <c r="O482" s="1">
        <f t="shared" si="7"/>
        <v>0</v>
      </c>
      <c r="P482" s="1" t="s">
        <v>1297</v>
      </c>
    </row>
    <row r="483" spans="1:16" ht="69.25" customHeight="1">
      <c r="A483" s="1" t="s">
        <v>9</v>
      </c>
      <c r="B483" s="1" t="s">
        <v>39</v>
      </c>
      <c r="C483" s="1">
        <v>2022</v>
      </c>
      <c r="D483" s="1" t="s">
        <v>18</v>
      </c>
      <c r="E483" s="1" t="s">
        <v>74</v>
      </c>
      <c r="F483" s="1" t="s">
        <v>75</v>
      </c>
      <c r="G483" s="1">
        <v>0</v>
      </c>
      <c r="H483" s="1" t="s">
        <v>434</v>
      </c>
      <c r="I483" s="1" t="s">
        <v>1343</v>
      </c>
      <c r="J483" s="1" t="s">
        <v>1342</v>
      </c>
      <c r="K483" s="1" t="s">
        <v>620</v>
      </c>
      <c r="L483" s="1" t="s">
        <v>143</v>
      </c>
      <c r="M483" s="1" t="s">
        <v>51</v>
      </c>
      <c r="N483" s="1"/>
      <c r="O483" s="1">
        <f t="shared" si="7"/>
        <v>0</v>
      </c>
      <c r="P483" s="1" t="s">
        <v>437</v>
      </c>
    </row>
    <row r="484" spans="1:16" ht="69.25" customHeight="1">
      <c r="A484" s="1" t="s">
        <v>9</v>
      </c>
      <c r="B484" s="1" t="s">
        <v>39</v>
      </c>
      <c r="C484" s="1">
        <v>2022</v>
      </c>
      <c r="D484" s="1" t="s">
        <v>18</v>
      </c>
      <c r="E484" s="1" t="s">
        <v>78</v>
      </c>
      <c r="F484" s="1" t="s">
        <v>79</v>
      </c>
      <c r="G484" s="1">
        <v>0</v>
      </c>
      <c r="H484" s="1" t="s">
        <v>434</v>
      </c>
      <c r="I484" s="1" t="s">
        <v>1344</v>
      </c>
      <c r="J484" s="1" t="s">
        <v>1342</v>
      </c>
      <c r="K484" s="1" t="s">
        <v>987</v>
      </c>
      <c r="L484" s="1" t="s">
        <v>143</v>
      </c>
      <c r="M484" s="1" t="s">
        <v>51</v>
      </c>
      <c r="N484" s="1"/>
      <c r="O484" s="1">
        <f t="shared" si="7"/>
        <v>0</v>
      </c>
      <c r="P484" s="1" t="s">
        <v>439</v>
      </c>
    </row>
    <row r="485" spans="1:16" ht="69.25" customHeight="1">
      <c r="A485" s="1" t="s">
        <v>9</v>
      </c>
      <c r="B485" s="1" t="s">
        <v>39</v>
      </c>
      <c r="C485" s="1">
        <v>2022</v>
      </c>
      <c r="D485" s="1" t="s">
        <v>18</v>
      </c>
      <c r="E485" s="1" t="s">
        <v>82</v>
      </c>
      <c r="F485" s="1" t="s">
        <v>83</v>
      </c>
      <c r="G485" s="1">
        <v>1</v>
      </c>
      <c r="H485" s="1" t="s">
        <v>429</v>
      </c>
      <c r="I485" s="1" t="s">
        <v>1345</v>
      </c>
      <c r="J485" s="1" t="s">
        <v>1342</v>
      </c>
      <c r="K485" s="1" t="s">
        <v>459</v>
      </c>
      <c r="L485" s="1" t="s">
        <v>143</v>
      </c>
      <c r="M485" s="1" t="s">
        <v>51</v>
      </c>
      <c r="N485" s="1"/>
      <c r="O485" s="1">
        <f t="shared" si="7"/>
        <v>1</v>
      </c>
      <c r="P485" s="1" t="s">
        <v>465</v>
      </c>
    </row>
    <row r="486" spans="1:16" ht="69.25" customHeight="1">
      <c r="A486" s="1" t="s">
        <v>9</v>
      </c>
      <c r="B486" s="1" t="s">
        <v>39</v>
      </c>
      <c r="C486" s="1">
        <v>2022</v>
      </c>
      <c r="D486" s="1" t="s">
        <v>18</v>
      </c>
      <c r="E486" s="1" t="s">
        <v>86</v>
      </c>
      <c r="F486" s="1" t="s">
        <v>87</v>
      </c>
      <c r="G486" s="1">
        <v>1</v>
      </c>
      <c r="H486" s="1" t="s">
        <v>429</v>
      </c>
      <c r="I486" s="1" t="s">
        <v>1346</v>
      </c>
      <c r="J486" s="1" t="s">
        <v>1342</v>
      </c>
      <c r="K486" s="1" t="s">
        <v>459</v>
      </c>
      <c r="L486" s="1" t="s">
        <v>143</v>
      </c>
      <c r="M486" s="1" t="s">
        <v>51</v>
      </c>
      <c r="N486" s="1"/>
      <c r="O486" s="1">
        <f t="shared" si="7"/>
        <v>1</v>
      </c>
      <c r="P486" s="1" t="s">
        <v>467</v>
      </c>
    </row>
    <row r="487" spans="1:16" ht="69.25" customHeight="1">
      <c r="A487" s="1" t="s">
        <v>9</v>
      </c>
      <c r="B487" s="1" t="s">
        <v>39</v>
      </c>
      <c r="C487" s="1">
        <v>2022</v>
      </c>
      <c r="D487" s="1" t="s">
        <v>18</v>
      </c>
      <c r="E487" s="1" t="s">
        <v>90</v>
      </c>
      <c r="F487" s="1" t="s">
        <v>91</v>
      </c>
      <c r="G487" s="1">
        <v>0</v>
      </c>
      <c r="H487" s="1" t="s">
        <v>434</v>
      </c>
      <c r="I487" s="1" t="s">
        <v>1347</v>
      </c>
      <c r="J487" s="1" t="s">
        <v>1348</v>
      </c>
      <c r="K487" s="1" t="s">
        <v>1147</v>
      </c>
      <c r="L487" s="1" t="s">
        <v>143</v>
      </c>
      <c r="M487" s="1" t="s">
        <v>51</v>
      </c>
      <c r="N487" s="1"/>
      <c r="O487" s="1">
        <f t="shared" si="7"/>
        <v>0</v>
      </c>
      <c r="P487" s="1" t="s">
        <v>444</v>
      </c>
    </row>
    <row r="488" spans="1:16" ht="69.25" customHeight="1">
      <c r="A488" s="1" t="s">
        <v>9</v>
      </c>
      <c r="B488" s="1" t="s">
        <v>39</v>
      </c>
      <c r="C488" s="1">
        <v>2022</v>
      </c>
      <c r="D488" s="1" t="s">
        <v>18</v>
      </c>
      <c r="E488" s="1" t="s">
        <v>94</v>
      </c>
      <c r="F488" s="1" t="s">
        <v>95</v>
      </c>
      <c r="G488" s="1">
        <v>0</v>
      </c>
      <c r="H488" s="1" t="s">
        <v>445</v>
      </c>
      <c r="I488" s="1" t="s">
        <v>1349</v>
      </c>
      <c r="J488" s="1" t="s">
        <v>1348</v>
      </c>
      <c r="K488" s="1" t="s">
        <v>1350</v>
      </c>
      <c r="L488" s="1" t="s">
        <v>143</v>
      </c>
      <c r="M488" s="1" t="s">
        <v>51</v>
      </c>
      <c r="N488" s="1"/>
      <c r="O488" s="1">
        <f t="shared" si="7"/>
        <v>0</v>
      </c>
      <c r="P488" s="1" t="s">
        <v>448</v>
      </c>
    </row>
    <row r="489" spans="1:16" ht="69.25" customHeight="1">
      <c r="A489" s="1" t="s">
        <v>9</v>
      </c>
      <c r="B489" s="1" t="s">
        <v>39</v>
      </c>
      <c r="C489" s="1">
        <v>2022</v>
      </c>
      <c r="D489" s="1" t="s">
        <v>18</v>
      </c>
      <c r="E489" s="1" t="s">
        <v>98</v>
      </c>
      <c r="F489" s="1" t="s">
        <v>99</v>
      </c>
      <c r="G489" s="1">
        <v>0</v>
      </c>
      <c r="H489" s="1" t="s">
        <v>445</v>
      </c>
      <c r="I489" s="1" t="s">
        <v>1351</v>
      </c>
      <c r="J489" s="1" t="s">
        <v>1348</v>
      </c>
      <c r="K489" s="1" t="s">
        <v>1352</v>
      </c>
      <c r="L489" s="1" t="s">
        <v>143</v>
      </c>
      <c r="M489" s="1" t="s">
        <v>51</v>
      </c>
      <c r="N489" s="1"/>
      <c r="O489" s="1">
        <f t="shared" si="7"/>
        <v>0</v>
      </c>
      <c r="P489" s="1" t="s">
        <v>448</v>
      </c>
    </row>
    <row r="490" spans="1:16" ht="69.25" customHeight="1">
      <c r="A490" s="1" t="s">
        <v>9</v>
      </c>
      <c r="B490" s="1" t="s">
        <v>39</v>
      </c>
      <c r="C490" s="1">
        <v>2022</v>
      </c>
      <c r="D490" s="1" t="s">
        <v>18</v>
      </c>
      <c r="E490" s="1" t="s">
        <v>102</v>
      </c>
      <c r="F490" s="1" t="s">
        <v>103</v>
      </c>
      <c r="G490" s="1">
        <v>0</v>
      </c>
      <c r="H490" s="1" t="s">
        <v>434</v>
      </c>
      <c r="I490" s="1" t="s">
        <v>1353</v>
      </c>
      <c r="J490" s="1" t="s">
        <v>1348</v>
      </c>
      <c r="K490" s="1" t="s">
        <v>801</v>
      </c>
      <c r="L490" s="1" t="s">
        <v>143</v>
      </c>
      <c r="M490" s="1" t="s">
        <v>51</v>
      </c>
      <c r="N490" s="1"/>
      <c r="O490" s="1">
        <f t="shared" si="7"/>
        <v>0</v>
      </c>
      <c r="P490" s="1" t="s">
        <v>452</v>
      </c>
    </row>
    <row r="491" spans="1:16" ht="69.25" customHeight="1">
      <c r="A491" s="1" t="s">
        <v>9</v>
      </c>
      <c r="B491" s="1" t="s">
        <v>39</v>
      </c>
      <c r="C491" s="1">
        <v>2022</v>
      </c>
      <c r="D491" s="1" t="s">
        <v>18</v>
      </c>
      <c r="E491" s="1" t="s">
        <v>106</v>
      </c>
      <c r="F491" s="1" t="s">
        <v>107</v>
      </c>
      <c r="G491" s="1">
        <v>1</v>
      </c>
      <c r="H491" s="1" t="s">
        <v>429</v>
      </c>
      <c r="I491" s="1" t="s">
        <v>1354</v>
      </c>
      <c r="J491" s="1" t="s">
        <v>1342</v>
      </c>
      <c r="K491" s="1" t="s">
        <v>459</v>
      </c>
      <c r="L491" s="1" t="s">
        <v>143</v>
      </c>
      <c r="M491" s="1" t="s">
        <v>51</v>
      </c>
      <c r="N491" s="1"/>
      <c r="O491" s="1">
        <f t="shared" si="7"/>
        <v>1</v>
      </c>
      <c r="P491" s="1" t="s">
        <v>1246</v>
      </c>
    </row>
    <row r="492" spans="1:16" ht="69.25" customHeight="1">
      <c r="A492" s="1" t="s">
        <v>9</v>
      </c>
      <c r="B492" s="1" t="s">
        <v>39</v>
      </c>
      <c r="C492" s="1">
        <v>2023</v>
      </c>
      <c r="D492" s="1" t="s">
        <v>18</v>
      </c>
      <c r="E492" s="1" t="s">
        <v>70</v>
      </c>
      <c r="F492" s="1" t="s">
        <v>71</v>
      </c>
      <c r="G492" s="1">
        <v>0</v>
      </c>
      <c r="H492" s="1" t="s">
        <v>434</v>
      </c>
      <c r="I492" s="1" t="s">
        <v>1355</v>
      </c>
      <c r="J492" s="1" t="s">
        <v>1356</v>
      </c>
      <c r="K492" s="1" t="s">
        <v>984</v>
      </c>
      <c r="L492" s="1" t="s">
        <v>143</v>
      </c>
      <c r="M492" s="1" t="s">
        <v>51</v>
      </c>
      <c r="N492" s="1"/>
      <c r="O492" s="1">
        <f t="shared" si="7"/>
        <v>0</v>
      </c>
      <c r="P492" s="1" t="s">
        <v>1297</v>
      </c>
    </row>
    <row r="493" spans="1:16" ht="69.25" customHeight="1">
      <c r="A493" s="1" t="s">
        <v>9</v>
      </c>
      <c r="B493" s="1" t="s">
        <v>39</v>
      </c>
      <c r="C493" s="1">
        <v>2023</v>
      </c>
      <c r="D493" s="1" t="s">
        <v>18</v>
      </c>
      <c r="E493" s="1" t="s">
        <v>74</v>
      </c>
      <c r="F493" s="1" t="s">
        <v>75</v>
      </c>
      <c r="G493" s="1">
        <v>0</v>
      </c>
      <c r="H493" s="1" t="s">
        <v>434</v>
      </c>
      <c r="I493" s="1" t="s">
        <v>1357</v>
      </c>
      <c r="J493" s="1" t="s">
        <v>1356</v>
      </c>
      <c r="K493" s="1" t="s">
        <v>852</v>
      </c>
      <c r="L493" s="1" t="s">
        <v>143</v>
      </c>
      <c r="M493" s="1" t="s">
        <v>51</v>
      </c>
      <c r="N493" s="1"/>
      <c r="O493" s="1">
        <f t="shared" si="7"/>
        <v>0</v>
      </c>
      <c r="P493" s="1" t="s">
        <v>437</v>
      </c>
    </row>
    <row r="494" spans="1:16" ht="69.25" customHeight="1">
      <c r="A494" s="1" t="s">
        <v>9</v>
      </c>
      <c r="B494" s="1" t="s">
        <v>39</v>
      </c>
      <c r="C494" s="1">
        <v>2023</v>
      </c>
      <c r="D494" s="1" t="s">
        <v>18</v>
      </c>
      <c r="E494" s="1" t="s">
        <v>78</v>
      </c>
      <c r="F494" s="1" t="s">
        <v>79</v>
      </c>
      <c r="G494" s="1">
        <v>0</v>
      </c>
      <c r="H494" s="1" t="s">
        <v>434</v>
      </c>
      <c r="I494" s="1" t="s">
        <v>1358</v>
      </c>
      <c r="J494" s="1" t="s">
        <v>1356</v>
      </c>
      <c r="K494" s="1" t="s">
        <v>1070</v>
      </c>
      <c r="L494" s="1" t="s">
        <v>143</v>
      </c>
      <c r="M494" s="1" t="s">
        <v>51</v>
      </c>
      <c r="N494" s="1"/>
      <c r="O494" s="1">
        <f t="shared" si="7"/>
        <v>0</v>
      </c>
      <c r="P494" s="1" t="s">
        <v>439</v>
      </c>
    </row>
    <row r="495" spans="1:16" ht="69.25" customHeight="1">
      <c r="A495" s="1" t="s">
        <v>9</v>
      </c>
      <c r="B495" s="1" t="s">
        <v>39</v>
      </c>
      <c r="C495" s="1">
        <v>2023</v>
      </c>
      <c r="D495" s="1" t="s">
        <v>18</v>
      </c>
      <c r="E495" s="1" t="s">
        <v>82</v>
      </c>
      <c r="F495" s="1" t="s">
        <v>83</v>
      </c>
      <c r="G495" s="1">
        <v>1</v>
      </c>
      <c r="H495" s="1" t="s">
        <v>429</v>
      </c>
      <c r="I495" s="1" t="s">
        <v>1359</v>
      </c>
      <c r="J495" s="1" t="s">
        <v>1356</v>
      </c>
      <c r="K495" s="1" t="s">
        <v>528</v>
      </c>
      <c r="L495" s="1" t="s">
        <v>143</v>
      </c>
      <c r="M495" s="1" t="s">
        <v>51</v>
      </c>
      <c r="N495" s="1"/>
      <c r="O495" s="1">
        <f t="shared" si="7"/>
        <v>1</v>
      </c>
      <c r="P495" s="1" t="s">
        <v>465</v>
      </c>
    </row>
    <row r="496" spans="1:16" ht="69.25" customHeight="1">
      <c r="A496" s="1" t="s">
        <v>9</v>
      </c>
      <c r="B496" s="1" t="s">
        <v>39</v>
      </c>
      <c r="C496" s="1">
        <v>2023</v>
      </c>
      <c r="D496" s="1" t="s">
        <v>18</v>
      </c>
      <c r="E496" s="1" t="s">
        <v>86</v>
      </c>
      <c r="F496" s="1" t="s">
        <v>87</v>
      </c>
      <c r="G496" s="1">
        <v>1</v>
      </c>
      <c r="H496" s="1" t="s">
        <v>429</v>
      </c>
      <c r="I496" s="1" t="s">
        <v>1360</v>
      </c>
      <c r="J496" s="1" t="s">
        <v>1356</v>
      </c>
      <c r="K496" s="1" t="s">
        <v>1306</v>
      </c>
      <c r="L496" s="1" t="s">
        <v>143</v>
      </c>
      <c r="M496" s="1" t="s">
        <v>51</v>
      </c>
      <c r="N496" s="1"/>
      <c r="O496" s="1">
        <f t="shared" si="7"/>
        <v>1</v>
      </c>
      <c r="P496" s="1" t="s">
        <v>467</v>
      </c>
    </row>
    <row r="497" spans="1:16" ht="69.25" customHeight="1">
      <c r="A497" s="1" t="s">
        <v>9</v>
      </c>
      <c r="B497" s="1" t="s">
        <v>39</v>
      </c>
      <c r="C497" s="1">
        <v>2023</v>
      </c>
      <c r="D497" s="1" t="s">
        <v>18</v>
      </c>
      <c r="E497" s="1" t="s">
        <v>90</v>
      </c>
      <c r="F497" s="1" t="s">
        <v>91</v>
      </c>
      <c r="G497" s="1">
        <v>0</v>
      </c>
      <c r="H497" s="1" t="s">
        <v>434</v>
      </c>
      <c r="I497" s="1" t="s">
        <v>1361</v>
      </c>
      <c r="J497" s="1" t="s">
        <v>1362</v>
      </c>
      <c r="K497" s="1" t="s">
        <v>1350</v>
      </c>
      <c r="L497" s="1" t="s">
        <v>143</v>
      </c>
      <c r="M497" s="1" t="s">
        <v>51</v>
      </c>
      <c r="N497" s="1"/>
      <c r="O497" s="1">
        <f t="shared" si="7"/>
        <v>0</v>
      </c>
      <c r="P497" s="1" t="s">
        <v>444</v>
      </c>
    </row>
    <row r="498" spans="1:16" ht="69.25" customHeight="1">
      <c r="A498" s="1" t="s">
        <v>9</v>
      </c>
      <c r="B498" s="1" t="s">
        <v>39</v>
      </c>
      <c r="C498" s="1">
        <v>2023</v>
      </c>
      <c r="D498" s="1" t="s">
        <v>18</v>
      </c>
      <c r="E498" s="1" t="s">
        <v>94</v>
      </c>
      <c r="F498" s="1" t="s">
        <v>95</v>
      </c>
      <c r="G498" s="1">
        <v>0</v>
      </c>
      <c r="H498" s="1" t="s">
        <v>445</v>
      </c>
      <c r="I498" s="1" t="s">
        <v>1363</v>
      </c>
      <c r="J498" s="1" t="s">
        <v>1356</v>
      </c>
      <c r="K498" s="1" t="s">
        <v>990</v>
      </c>
      <c r="L498" s="1" t="s">
        <v>143</v>
      </c>
      <c r="M498" s="1" t="s">
        <v>51</v>
      </c>
      <c r="N498" s="1"/>
      <c r="O498" s="1">
        <f t="shared" si="7"/>
        <v>0</v>
      </c>
      <c r="P498" s="1" t="s">
        <v>448</v>
      </c>
    </row>
    <row r="499" spans="1:16" ht="69.25" customHeight="1">
      <c r="A499" s="1" t="s">
        <v>9</v>
      </c>
      <c r="B499" s="1" t="s">
        <v>39</v>
      </c>
      <c r="C499" s="1">
        <v>2023</v>
      </c>
      <c r="D499" s="1" t="s">
        <v>18</v>
      </c>
      <c r="E499" s="1" t="s">
        <v>98</v>
      </c>
      <c r="F499" s="1" t="s">
        <v>99</v>
      </c>
      <c r="G499" s="1">
        <v>0</v>
      </c>
      <c r="H499" s="1" t="s">
        <v>445</v>
      </c>
      <c r="I499" s="1" t="s">
        <v>1364</v>
      </c>
      <c r="J499" s="1" t="s">
        <v>1362</v>
      </c>
      <c r="K499" s="1" t="s">
        <v>1352</v>
      </c>
      <c r="L499" s="1" t="s">
        <v>143</v>
      </c>
      <c r="M499" s="1" t="s">
        <v>51</v>
      </c>
      <c r="N499" s="1"/>
      <c r="O499" s="1">
        <f t="shared" si="7"/>
        <v>0</v>
      </c>
      <c r="P499" s="1" t="s">
        <v>448</v>
      </c>
    </row>
    <row r="500" spans="1:16" ht="69.25" customHeight="1">
      <c r="A500" s="1" t="s">
        <v>9</v>
      </c>
      <c r="B500" s="1" t="s">
        <v>39</v>
      </c>
      <c r="C500" s="1">
        <v>2023</v>
      </c>
      <c r="D500" s="1" t="s">
        <v>18</v>
      </c>
      <c r="E500" s="1" t="s">
        <v>102</v>
      </c>
      <c r="F500" s="1" t="s">
        <v>103</v>
      </c>
      <c r="G500" s="1">
        <v>1</v>
      </c>
      <c r="H500" s="1" t="s">
        <v>429</v>
      </c>
      <c r="I500" s="1" t="s">
        <v>1365</v>
      </c>
      <c r="J500" s="1" t="s">
        <v>1356</v>
      </c>
      <c r="K500" s="1" t="s">
        <v>852</v>
      </c>
      <c r="L500" s="1" t="s">
        <v>143</v>
      </c>
      <c r="M500" s="1" t="s">
        <v>51</v>
      </c>
      <c r="N500" s="1"/>
      <c r="O500" s="1">
        <f t="shared" si="7"/>
        <v>1</v>
      </c>
      <c r="P500" s="1" t="s">
        <v>475</v>
      </c>
    </row>
    <row r="501" spans="1:16" ht="69.25" customHeight="1">
      <c r="A501" s="1" t="s">
        <v>9</v>
      </c>
      <c r="B501" s="1" t="s">
        <v>39</v>
      </c>
      <c r="C501" s="1">
        <v>2023</v>
      </c>
      <c r="D501" s="1" t="s">
        <v>18</v>
      </c>
      <c r="E501" s="1" t="s">
        <v>106</v>
      </c>
      <c r="F501" s="1" t="s">
        <v>107</v>
      </c>
      <c r="G501" s="1">
        <v>0</v>
      </c>
      <c r="H501" s="1" t="s">
        <v>445</v>
      </c>
      <c r="I501" s="1" t="s">
        <v>1366</v>
      </c>
      <c r="J501" s="1" t="s">
        <v>1356</v>
      </c>
      <c r="K501" s="1" t="s">
        <v>1306</v>
      </c>
      <c r="L501" s="1" t="s">
        <v>143</v>
      </c>
      <c r="M501" s="1" t="s">
        <v>51</v>
      </c>
      <c r="N501" s="1"/>
      <c r="O501" s="1">
        <f t="shared" si="7"/>
        <v>0</v>
      </c>
      <c r="P501" s="1" t="s">
        <v>448</v>
      </c>
    </row>
    <row r="502" spans="1:16" ht="69.25" customHeight="1">
      <c r="A502" s="1" t="s">
        <v>9</v>
      </c>
      <c r="B502" s="1" t="s">
        <v>39</v>
      </c>
      <c r="C502" s="1">
        <v>2024</v>
      </c>
      <c r="D502" s="1" t="s">
        <v>18</v>
      </c>
      <c r="E502" s="1" t="s">
        <v>70</v>
      </c>
      <c r="F502" s="1" t="s">
        <v>71</v>
      </c>
      <c r="G502" s="1">
        <v>0</v>
      </c>
      <c r="H502" s="1" t="s">
        <v>434</v>
      </c>
      <c r="I502" s="1" t="s">
        <v>1367</v>
      </c>
      <c r="J502" s="1" t="s">
        <v>1368</v>
      </c>
      <c r="K502" s="1" t="s">
        <v>432</v>
      </c>
      <c r="L502" s="1" t="s">
        <v>143</v>
      </c>
      <c r="M502" s="1" t="s">
        <v>51</v>
      </c>
      <c r="N502" s="1"/>
      <c r="O502" s="1">
        <f t="shared" si="7"/>
        <v>0</v>
      </c>
      <c r="P502" s="1" t="s">
        <v>1297</v>
      </c>
    </row>
    <row r="503" spans="1:16" ht="69.25" customHeight="1">
      <c r="A503" s="1" t="s">
        <v>9</v>
      </c>
      <c r="B503" s="1" t="s">
        <v>39</v>
      </c>
      <c r="C503" s="1">
        <v>2024</v>
      </c>
      <c r="D503" s="1" t="s">
        <v>18</v>
      </c>
      <c r="E503" s="1" t="s">
        <v>74</v>
      </c>
      <c r="F503" s="1" t="s">
        <v>75</v>
      </c>
      <c r="G503" s="1">
        <v>0</v>
      </c>
      <c r="H503" s="1" t="s">
        <v>434</v>
      </c>
      <c r="I503" s="1" t="s">
        <v>1369</v>
      </c>
      <c r="J503" s="1" t="s">
        <v>1368</v>
      </c>
      <c r="K503" s="1" t="s">
        <v>852</v>
      </c>
      <c r="L503" s="1" t="s">
        <v>143</v>
      </c>
      <c r="M503" s="1" t="s">
        <v>51</v>
      </c>
      <c r="N503" s="1"/>
      <c r="O503" s="1">
        <f t="shared" si="7"/>
        <v>0</v>
      </c>
      <c r="P503" s="1" t="s">
        <v>437</v>
      </c>
    </row>
    <row r="504" spans="1:16" ht="69.25" customHeight="1">
      <c r="A504" s="1" t="s">
        <v>9</v>
      </c>
      <c r="B504" s="1" t="s">
        <v>39</v>
      </c>
      <c r="C504" s="1">
        <v>2024</v>
      </c>
      <c r="D504" s="1" t="s">
        <v>18</v>
      </c>
      <c r="E504" s="1" t="s">
        <v>78</v>
      </c>
      <c r="F504" s="1" t="s">
        <v>79</v>
      </c>
      <c r="G504" s="1">
        <v>0</v>
      </c>
      <c r="H504" s="1" t="s">
        <v>434</v>
      </c>
      <c r="I504" s="1" t="s">
        <v>1370</v>
      </c>
      <c r="J504" s="1" t="s">
        <v>1371</v>
      </c>
      <c r="K504" s="1" t="s">
        <v>606</v>
      </c>
      <c r="L504" s="1" t="s">
        <v>143</v>
      </c>
      <c r="M504" s="1" t="s">
        <v>51</v>
      </c>
      <c r="N504" s="1"/>
      <c r="O504" s="1">
        <f t="shared" si="7"/>
        <v>0</v>
      </c>
      <c r="P504" s="1" t="s">
        <v>439</v>
      </c>
    </row>
    <row r="505" spans="1:16" ht="69.25" customHeight="1">
      <c r="A505" s="1" t="s">
        <v>9</v>
      </c>
      <c r="B505" s="1" t="s">
        <v>39</v>
      </c>
      <c r="C505" s="1">
        <v>2024</v>
      </c>
      <c r="D505" s="1" t="s">
        <v>18</v>
      </c>
      <c r="E505" s="1" t="s">
        <v>82</v>
      </c>
      <c r="F505" s="1" t="s">
        <v>83</v>
      </c>
      <c r="G505" s="1">
        <v>1</v>
      </c>
      <c r="H505" s="1" t="s">
        <v>429</v>
      </c>
      <c r="I505" s="1" t="s">
        <v>1372</v>
      </c>
      <c r="J505" s="1" t="s">
        <v>1368</v>
      </c>
      <c r="K505" s="1" t="s">
        <v>1373</v>
      </c>
      <c r="L505" s="1" t="s">
        <v>143</v>
      </c>
      <c r="M505" s="1" t="s">
        <v>51</v>
      </c>
      <c r="N505" s="1"/>
      <c r="O505" s="1">
        <f t="shared" si="7"/>
        <v>1</v>
      </c>
      <c r="P505" s="1" t="s">
        <v>465</v>
      </c>
    </row>
    <row r="506" spans="1:16" ht="69.25" customHeight="1">
      <c r="A506" s="1" t="s">
        <v>9</v>
      </c>
      <c r="B506" s="1" t="s">
        <v>39</v>
      </c>
      <c r="C506" s="1">
        <v>2024</v>
      </c>
      <c r="D506" s="1" t="s">
        <v>18</v>
      </c>
      <c r="E506" s="1" t="s">
        <v>86</v>
      </c>
      <c r="F506" s="1" t="s">
        <v>87</v>
      </c>
      <c r="G506" s="1">
        <v>1</v>
      </c>
      <c r="H506" s="1" t="s">
        <v>429</v>
      </c>
      <c r="I506" s="1" t="s">
        <v>1374</v>
      </c>
      <c r="J506" s="1" t="s">
        <v>1368</v>
      </c>
      <c r="K506" s="1" t="s">
        <v>1276</v>
      </c>
      <c r="L506" s="1" t="s">
        <v>143</v>
      </c>
      <c r="M506" s="1" t="s">
        <v>51</v>
      </c>
      <c r="N506" s="1"/>
      <c r="O506" s="1">
        <f t="shared" si="7"/>
        <v>1</v>
      </c>
      <c r="P506" s="1" t="s">
        <v>467</v>
      </c>
    </row>
    <row r="507" spans="1:16" ht="69.25" customHeight="1">
      <c r="A507" s="1" t="s">
        <v>9</v>
      </c>
      <c r="B507" s="1" t="s">
        <v>39</v>
      </c>
      <c r="C507" s="1">
        <v>2024</v>
      </c>
      <c r="D507" s="1" t="s">
        <v>18</v>
      </c>
      <c r="E507" s="1" t="s">
        <v>90</v>
      </c>
      <c r="F507" s="1" t="s">
        <v>91</v>
      </c>
      <c r="G507" s="1">
        <v>0</v>
      </c>
      <c r="H507" s="1" t="s">
        <v>445</v>
      </c>
      <c r="I507" s="1" t="s">
        <v>1375</v>
      </c>
      <c r="J507" s="1" t="s">
        <v>1368</v>
      </c>
      <c r="K507" s="1" t="s">
        <v>1376</v>
      </c>
      <c r="L507" s="1" t="s">
        <v>143</v>
      </c>
      <c r="M507" s="1" t="s">
        <v>51</v>
      </c>
      <c r="N507" s="1"/>
      <c r="O507" s="1">
        <f t="shared" si="7"/>
        <v>0</v>
      </c>
      <c r="P507" s="1" t="s">
        <v>448</v>
      </c>
    </row>
    <row r="508" spans="1:16" ht="69.25" customHeight="1">
      <c r="A508" s="1" t="s">
        <v>9</v>
      </c>
      <c r="B508" s="1" t="s">
        <v>39</v>
      </c>
      <c r="C508" s="1">
        <v>2024</v>
      </c>
      <c r="D508" s="1" t="s">
        <v>18</v>
      </c>
      <c r="E508" s="1" t="s">
        <v>94</v>
      </c>
      <c r="F508" s="1" t="s">
        <v>95</v>
      </c>
      <c r="G508" s="1">
        <v>0</v>
      </c>
      <c r="H508" s="1" t="s">
        <v>445</v>
      </c>
      <c r="I508" s="1" t="s">
        <v>1377</v>
      </c>
      <c r="J508" s="1" t="s">
        <v>1371</v>
      </c>
      <c r="K508" s="1" t="s">
        <v>1378</v>
      </c>
      <c r="L508" s="1" t="s">
        <v>143</v>
      </c>
      <c r="M508" s="1" t="s">
        <v>51</v>
      </c>
      <c r="N508" s="1"/>
      <c r="O508" s="1">
        <f t="shared" si="7"/>
        <v>0</v>
      </c>
      <c r="P508" s="1" t="s">
        <v>448</v>
      </c>
    </row>
    <row r="509" spans="1:16" ht="69.25" customHeight="1">
      <c r="A509" s="1" t="s">
        <v>9</v>
      </c>
      <c r="B509" s="1" t="s">
        <v>39</v>
      </c>
      <c r="C509" s="1">
        <v>2024</v>
      </c>
      <c r="D509" s="1" t="s">
        <v>18</v>
      </c>
      <c r="E509" s="1" t="s">
        <v>98</v>
      </c>
      <c r="F509" s="1" t="s">
        <v>99</v>
      </c>
      <c r="G509" s="1">
        <v>0</v>
      </c>
      <c r="H509" s="1" t="s">
        <v>434</v>
      </c>
      <c r="I509" s="1" t="s">
        <v>1379</v>
      </c>
      <c r="J509" s="1" t="s">
        <v>1371</v>
      </c>
      <c r="K509" s="1" t="s">
        <v>927</v>
      </c>
      <c r="L509" s="1" t="s">
        <v>143</v>
      </c>
      <c r="M509" s="1" t="s">
        <v>51</v>
      </c>
      <c r="N509" s="1"/>
      <c r="O509" s="1">
        <f t="shared" si="7"/>
        <v>0</v>
      </c>
      <c r="P509" s="1" t="s">
        <v>472</v>
      </c>
    </row>
    <row r="510" spans="1:16" ht="69.25" customHeight="1">
      <c r="A510" s="1" t="s">
        <v>9</v>
      </c>
      <c r="B510" s="1" t="s">
        <v>39</v>
      </c>
      <c r="C510" s="1">
        <v>2024</v>
      </c>
      <c r="D510" s="1" t="s">
        <v>18</v>
      </c>
      <c r="E510" s="1" t="s">
        <v>102</v>
      </c>
      <c r="F510" s="1" t="s">
        <v>103</v>
      </c>
      <c r="G510" s="1">
        <v>1</v>
      </c>
      <c r="H510" s="1" t="s">
        <v>429</v>
      </c>
      <c r="I510" s="1" t="s">
        <v>1380</v>
      </c>
      <c r="J510" s="1" t="s">
        <v>1368</v>
      </c>
      <c r="K510" s="1" t="s">
        <v>852</v>
      </c>
      <c r="L510" s="1" t="s">
        <v>143</v>
      </c>
      <c r="M510" s="1" t="s">
        <v>51</v>
      </c>
      <c r="N510" s="1"/>
      <c r="O510" s="1">
        <f t="shared" si="7"/>
        <v>1</v>
      </c>
      <c r="P510" s="1" t="s">
        <v>475</v>
      </c>
    </row>
    <row r="511" spans="1:16" ht="69.25" customHeight="1">
      <c r="A511" s="1" t="s">
        <v>9</v>
      </c>
      <c r="B511" s="1" t="s">
        <v>39</v>
      </c>
      <c r="C511" s="1">
        <v>2024</v>
      </c>
      <c r="D511" s="1" t="s">
        <v>18</v>
      </c>
      <c r="E511" s="1" t="s">
        <v>106</v>
      </c>
      <c r="F511" s="1" t="s">
        <v>107</v>
      </c>
      <c r="G511" s="1">
        <v>0</v>
      </c>
      <c r="H511" s="1" t="s">
        <v>445</v>
      </c>
      <c r="I511" s="1" t="s">
        <v>1381</v>
      </c>
      <c r="J511" s="1" t="s">
        <v>1368</v>
      </c>
      <c r="K511" s="1" t="s">
        <v>1276</v>
      </c>
      <c r="L511" s="1" t="s">
        <v>143</v>
      </c>
      <c r="M511" s="1" t="s">
        <v>51</v>
      </c>
      <c r="N511" s="1"/>
      <c r="O511" s="1">
        <f t="shared" si="7"/>
        <v>0</v>
      </c>
      <c r="P511" s="1" t="s">
        <v>448</v>
      </c>
    </row>
    <row r="512" spans="1:16" ht="69.25" customHeight="1">
      <c r="A512" s="1" t="s">
        <v>9</v>
      </c>
      <c r="B512" s="1" t="s">
        <v>39</v>
      </c>
      <c r="C512" s="1">
        <v>2025</v>
      </c>
      <c r="D512" s="1" t="s">
        <v>18</v>
      </c>
      <c r="E512" s="1" t="s">
        <v>70</v>
      </c>
      <c r="F512" s="1" t="s">
        <v>71</v>
      </c>
      <c r="G512" s="1">
        <v>1</v>
      </c>
      <c r="H512" s="1" t="s">
        <v>429</v>
      </c>
      <c r="I512" s="1" t="s">
        <v>1382</v>
      </c>
      <c r="J512" s="1" t="s">
        <v>1383</v>
      </c>
      <c r="K512" s="1" t="s">
        <v>704</v>
      </c>
      <c r="L512" s="1" t="s">
        <v>143</v>
      </c>
      <c r="M512" s="1" t="s">
        <v>51</v>
      </c>
      <c r="N512" s="1"/>
      <c r="O512" s="1">
        <f t="shared" si="7"/>
        <v>1</v>
      </c>
      <c r="P512" s="1" t="s">
        <v>1319</v>
      </c>
    </row>
    <row r="513" spans="1:16" ht="69.25" customHeight="1">
      <c r="A513" s="1" t="s">
        <v>9</v>
      </c>
      <c r="B513" s="1" t="s">
        <v>39</v>
      </c>
      <c r="C513" s="1">
        <v>2025</v>
      </c>
      <c r="D513" s="1" t="s">
        <v>18</v>
      </c>
      <c r="E513" s="1" t="s">
        <v>74</v>
      </c>
      <c r="F513" s="1" t="s">
        <v>75</v>
      </c>
      <c r="G513" s="1">
        <v>0</v>
      </c>
      <c r="H513" s="1" t="s">
        <v>434</v>
      </c>
      <c r="I513" s="1" t="s">
        <v>1384</v>
      </c>
      <c r="J513" s="1" t="s">
        <v>1383</v>
      </c>
      <c r="K513" s="1" t="s">
        <v>876</v>
      </c>
      <c r="L513" s="1" t="s">
        <v>143</v>
      </c>
      <c r="M513" s="1" t="s">
        <v>51</v>
      </c>
      <c r="N513" s="1"/>
      <c r="O513" s="1">
        <f t="shared" si="7"/>
        <v>0</v>
      </c>
      <c r="P513" s="1" t="s">
        <v>437</v>
      </c>
    </row>
    <row r="514" spans="1:16" ht="69.25" customHeight="1">
      <c r="A514" s="1" t="s">
        <v>9</v>
      </c>
      <c r="B514" s="1" t="s">
        <v>39</v>
      </c>
      <c r="C514" s="1">
        <v>2025</v>
      </c>
      <c r="D514" s="1" t="s">
        <v>18</v>
      </c>
      <c r="E514" s="1" t="s">
        <v>78</v>
      </c>
      <c r="F514" s="1" t="s">
        <v>79</v>
      </c>
      <c r="G514" s="1">
        <v>0</v>
      </c>
      <c r="H514" s="1" t="s">
        <v>434</v>
      </c>
      <c r="I514" s="1" t="s">
        <v>1385</v>
      </c>
      <c r="J514" s="1" t="s">
        <v>1386</v>
      </c>
      <c r="K514" s="1" t="s">
        <v>876</v>
      </c>
      <c r="L514" s="1" t="s">
        <v>143</v>
      </c>
      <c r="M514" s="1" t="s">
        <v>51</v>
      </c>
      <c r="N514" s="1"/>
      <c r="O514" s="1">
        <f t="shared" ref="O514:O577" si="8">IF(N514&lt;&gt;"",N514,G514)</f>
        <v>0</v>
      </c>
      <c r="P514" s="1" t="s">
        <v>439</v>
      </c>
    </row>
    <row r="515" spans="1:16" ht="69.25" customHeight="1">
      <c r="A515" s="1" t="s">
        <v>9</v>
      </c>
      <c r="B515" s="1" t="s">
        <v>39</v>
      </c>
      <c r="C515" s="1">
        <v>2025</v>
      </c>
      <c r="D515" s="1" t="s">
        <v>18</v>
      </c>
      <c r="E515" s="1" t="s">
        <v>82</v>
      </c>
      <c r="F515" s="1" t="s">
        <v>83</v>
      </c>
      <c r="G515" s="1">
        <v>1</v>
      </c>
      <c r="H515" s="1" t="s">
        <v>429</v>
      </c>
      <c r="I515" s="1" t="s">
        <v>1387</v>
      </c>
      <c r="J515" s="1" t="s">
        <v>1383</v>
      </c>
      <c r="K515" s="1" t="s">
        <v>1172</v>
      </c>
      <c r="L515" s="1" t="s">
        <v>143</v>
      </c>
      <c r="M515" s="1" t="s">
        <v>51</v>
      </c>
      <c r="N515" s="1"/>
      <c r="O515" s="1">
        <f t="shared" si="8"/>
        <v>1</v>
      </c>
      <c r="P515" s="1" t="s">
        <v>465</v>
      </c>
    </row>
    <row r="516" spans="1:16" ht="69.25" customHeight="1">
      <c r="A516" s="1" t="s">
        <v>9</v>
      </c>
      <c r="B516" s="1" t="s">
        <v>39</v>
      </c>
      <c r="C516" s="1">
        <v>2025</v>
      </c>
      <c r="D516" s="1" t="s">
        <v>18</v>
      </c>
      <c r="E516" s="1" t="s">
        <v>86</v>
      </c>
      <c r="F516" s="1" t="s">
        <v>87</v>
      </c>
      <c r="G516" s="1">
        <v>1</v>
      </c>
      <c r="H516" s="1" t="s">
        <v>429</v>
      </c>
      <c r="I516" s="1" t="s">
        <v>1388</v>
      </c>
      <c r="J516" s="1" t="s">
        <v>1383</v>
      </c>
      <c r="K516" s="1" t="s">
        <v>1376</v>
      </c>
      <c r="L516" s="1" t="s">
        <v>143</v>
      </c>
      <c r="M516" s="1" t="s">
        <v>51</v>
      </c>
      <c r="N516" s="1"/>
      <c r="O516" s="1">
        <f t="shared" si="8"/>
        <v>1</v>
      </c>
      <c r="P516" s="1" t="s">
        <v>467</v>
      </c>
    </row>
    <row r="517" spans="1:16" ht="69.25" customHeight="1">
      <c r="A517" s="1" t="s">
        <v>9</v>
      </c>
      <c r="B517" s="1" t="s">
        <v>39</v>
      </c>
      <c r="C517" s="1">
        <v>2025</v>
      </c>
      <c r="D517" s="1" t="s">
        <v>18</v>
      </c>
      <c r="E517" s="1" t="s">
        <v>90</v>
      </c>
      <c r="F517" s="1" t="s">
        <v>91</v>
      </c>
      <c r="G517" s="1">
        <v>0</v>
      </c>
      <c r="H517" s="1" t="s">
        <v>445</v>
      </c>
      <c r="I517" s="1" t="s">
        <v>1387</v>
      </c>
      <c r="J517" s="1" t="s">
        <v>1383</v>
      </c>
      <c r="K517" s="1" t="s">
        <v>1172</v>
      </c>
      <c r="L517" s="1" t="s">
        <v>143</v>
      </c>
      <c r="M517" s="1" t="s">
        <v>51</v>
      </c>
      <c r="N517" s="1"/>
      <c r="O517" s="1">
        <f t="shared" si="8"/>
        <v>0</v>
      </c>
      <c r="P517" s="1" t="s">
        <v>448</v>
      </c>
    </row>
    <row r="518" spans="1:16" ht="69.25" customHeight="1">
      <c r="A518" s="1" t="s">
        <v>9</v>
      </c>
      <c r="B518" s="1" t="s">
        <v>39</v>
      </c>
      <c r="C518" s="1">
        <v>2025</v>
      </c>
      <c r="D518" s="1" t="s">
        <v>18</v>
      </c>
      <c r="E518" s="1" t="s">
        <v>94</v>
      </c>
      <c r="F518" s="1" t="s">
        <v>95</v>
      </c>
      <c r="G518" s="1">
        <v>0</v>
      </c>
      <c r="H518" s="1" t="s">
        <v>434</v>
      </c>
      <c r="I518" s="1" t="s">
        <v>1389</v>
      </c>
      <c r="J518" s="1" t="s">
        <v>1386</v>
      </c>
      <c r="K518" s="1" t="s">
        <v>613</v>
      </c>
      <c r="L518" s="1" t="s">
        <v>143</v>
      </c>
      <c r="M518" s="1" t="s">
        <v>51</v>
      </c>
      <c r="N518" s="1"/>
      <c r="O518" s="1">
        <f t="shared" si="8"/>
        <v>0</v>
      </c>
      <c r="P518" s="1" t="s">
        <v>795</v>
      </c>
    </row>
    <row r="519" spans="1:16" ht="69.25" customHeight="1">
      <c r="A519" s="1" t="s">
        <v>9</v>
      </c>
      <c r="B519" s="1" t="s">
        <v>39</v>
      </c>
      <c r="C519" s="1">
        <v>2025</v>
      </c>
      <c r="D519" s="1" t="s">
        <v>18</v>
      </c>
      <c r="E519" s="1" t="s">
        <v>98</v>
      </c>
      <c r="F519" s="1" t="s">
        <v>99</v>
      </c>
      <c r="G519" s="1">
        <v>0</v>
      </c>
      <c r="H519" s="1" t="s">
        <v>445</v>
      </c>
      <c r="I519" s="1" t="s">
        <v>1390</v>
      </c>
      <c r="J519" s="1" t="s">
        <v>1383</v>
      </c>
      <c r="K519" s="1" t="s">
        <v>1296</v>
      </c>
      <c r="L519" s="1" t="s">
        <v>143</v>
      </c>
      <c r="M519" s="1" t="s">
        <v>51</v>
      </c>
      <c r="N519" s="1"/>
      <c r="O519" s="1">
        <f t="shared" si="8"/>
        <v>0</v>
      </c>
      <c r="P519" s="1" t="s">
        <v>448</v>
      </c>
    </row>
    <row r="520" spans="1:16" ht="69.25" customHeight="1">
      <c r="A520" s="1" t="s">
        <v>9</v>
      </c>
      <c r="B520" s="1" t="s">
        <v>39</v>
      </c>
      <c r="C520" s="1">
        <v>2025</v>
      </c>
      <c r="D520" s="1" t="s">
        <v>18</v>
      </c>
      <c r="E520" s="1" t="s">
        <v>102</v>
      </c>
      <c r="F520" s="1" t="s">
        <v>103</v>
      </c>
      <c r="G520" s="1">
        <v>1</v>
      </c>
      <c r="H520" s="1" t="s">
        <v>429</v>
      </c>
      <c r="I520" s="1" t="s">
        <v>1391</v>
      </c>
      <c r="J520" s="1" t="s">
        <v>1383</v>
      </c>
      <c r="K520" s="1" t="s">
        <v>876</v>
      </c>
      <c r="L520" s="1" t="s">
        <v>143</v>
      </c>
      <c r="M520" s="1" t="s">
        <v>51</v>
      </c>
      <c r="N520" s="1"/>
      <c r="O520" s="1">
        <f t="shared" si="8"/>
        <v>1</v>
      </c>
      <c r="P520" s="1" t="s">
        <v>475</v>
      </c>
    </row>
    <row r="521" spans="1:16" ht="69.25" customHeight="1">
      <c r="A521" s="1" t="s">
        <v>9</v>
      </c>
      <c r="B521" s="1" t="s">
        <v>39</v>
      </c>
      <c r="C521" s="1">
        <v>2025</v>
      </c>
      <c r="D521" s="1" t="s">
        <v>18</v>
      </c>
      <c r="E521" s="1" t="s">
        <v>106</v>
      </c>
      <c r="F521" s="1" t="s">
        <v>107</v>
      </c>
      <c r="G521" s="1">
        <v>0</v>
      </c>
      <c r="H521" s="1" t="s">
        <v>445</v>
      </c>
      <c r="I521" s="1" t="s">
        <v>1392</v>
      </c>
      <c r="J521" s="1" t="s">
        <v>1383</v>
      </c>
      <c r="K521" s="1" t="s">
        <v>1393</v>
      </c>
      <c r="L521" s="1" t="s">
        <v>143</v>
      </c>
      <c r="M521" s="1" t="s">
        <v>51</v>
      </c>
      <c r="N521" s="1"/>
      <c r="O521" s="1">
        <f t="shared" si="8"/>
        <v>0</v>
      </c>
      <c r="P521" s="1" t="s">
        <v>448</v>
      </c>
    </row>
    <row r="522" spans="1:16" ht="69.25" customHeight="1">
      <c r="A522" s="1" t="s">
        <v>9</v>
      </c>
      <c r="B522" s="1" t="s">
        <v>41</v>
      </c>
      <c r="C522" s="1">
        <v>2022</v>
      </c>
      <c r="D522" s="1" t="s">
        <v>43</v>
      </c>
      <c r="E522" s="1" t="s">
        <v>70</v>
      </c>
      <c r="F522" s="1" t="s">
        <v>71</v>
      </c>
      <c r="G522" s="1">
        <v>1</v>
      </c>
      <c r="H522" s="1" t="s">
        <v>429</v>
      </c>
      <c r="I522" s="1" t="s">
        <v>1394</v>
      </c>
      <c r="J522" s="1" t="s">
        <v>1395</v>
      </c>
      <c r="K522" s="1" t="s">
        <v>1396</v>
      </c>
      <c r="L522" s="1" t="s">
        <v>145</v>
      </c>
      <c r="M522" s="1" t="s">
        <v>51</v>
      </c>
      <c r="N522" s="1"/>
      <c r="O522" s="1">
        <f t="shared" si="8"/>
        <v>1</v>
      </c>
      <c r="P522" s="1" t="s">
        <v>433</v>
      </c>
    </row>
    <row r="523" spans="1:16" ht="69.25" customHeight="1">
      <c r="A523" s="1" t="s">
        <v>9</v>
      </c>
      <c r="B523" s="1" t="s">
        <v>41</v>
      </c>
      <c r="C523" s="1">
        <v>2022</v>
      </c>
      <c r="D523" s="1" t="s">
        <v>43</v>
      </c>
      <c r="E523" s="1" t="s">
        <v>74</v>
      </c>
      <c r="F523" s="1" t="s">
        <v>75</v>
      </c>
      <c r="G523" s="1">
        <v>0</v>
      </c>
      <c r="H523" s="1" t="s">
        <v>445</v>
      </c>
      <c r="I523" s="1" t="s">
        <v>1397</v>
      </c>
      <c r="J523" s="1" t="s">
        <v>1395</v>
      </c>
      <c r="K523" s="1" t="s">
        <v>1396</v>
      </c>
      <c r="L523" s="1" t="s">
        <v>145</v>
      </c>
      <c r="M523" s="1" t="s">
        <v>51</v>
      </c>
      <c r="N523" s="1"/>
      <c r="O523" s="1">
        <f t="shared" si="8"/>
        <v>0</v>
      </c>
      <c r="P523" s="1" t="s">
        <v>448</v>
      </c>
    </row>
    <row r="524" spans="1:16" ht="69.25" customHeight="1">
      <c r="A524" s="1" t="s">
        <v>9</v>
      </c>
      <c r="B524" s="1" t="s">
        <v>41</v>
      </c>
      <c r="C524" s="1">
        <v>2022</v>
      </c>
      <c r="D524" s="1" t="s">
        <v>43</v>
      </c>
      <c r="E524" s="1" t="s">
        <v>78</v>
      </c>
      <c r="F524" s="1" t="s">
        <v>79</v>
      </c>
      <c r="G524" s="1">
        <v>1</v>
      </c>
      <c r="H524" s="1" t="s">
        <v>429</v>
      </c>
      <c r="I524" s="1" t="s">
        <v>1398</v>
      </c>
      <c r="J524" s="1" t="s">
        <v>1395</v>
      </c>
      <c r="K524" s="1" t="s">
        <v>1184</v>
      </c>
      <c r="L524" s="1" t="s">
        <v>145</v>
      </c>
      <c r="M524" s="1" t="s">
        <v>51</v>
      </c>
      <c r="N524" s="1"/>
      <c r="O524" s="1">
        <f t="shared" si="8"/>
        <v>1</v>
      </c>
      <c r="P524" s="1" t="s">
        <v>915</v>
      </c>
    </row>
    <row r="525" spans="1:16" ht="69.25" customHeight="1">
      <c r="A525" s="1" t="s">
        <v>9</v>
      </c>
      <c r="B525" s="1" t="s">
        <v>41</v>
      </c>
      <c r="C525" s="1">
        <v>2022</v>
      </c>
      <c r="D525" s="1" t="s">
        <v>43</v>
      </c>
      <c r="E525" s="1" t="s">
        <v>82</v>
      </c>
      <c r="F525" s="1" t="s">
        <v>83</v>
      </c>
      <c r="G525" s="1">
        <v>1</v>
      </c>
      <c r="H525" s="1" t="s">
        <v>429</v>
      </c>
      <c r="I525" s="1" t="s">
        <v>1399</v>
      </c>
      <c r="J525" s="1" t="s">
        <v>1395</v>
      </c>
      <c r="K525" s="1" t="s">
        <v>774</v>
      </c>
      <c r="L525" s="1" t="s">
        <v>145</v>
      </c>
      <c r="M525" s="1" t="s">
        <v>51</v>
      </c>
      <c r="N525" s="1"/>
      <c r="O525" s="1">
        <f t="shared" si="8"/>
        <v>1</v>
      </c>
      <c r="P525" s="1" t="s">
        <v>465</v>
      </c>
    </row>
    <row r="526" spans="1:16" ht="69.25" customHeight="1">
      <c r="A526" s="1" t="s">
        <v>9</v>
      </c>
      <c r="B526" s="1" t="s">
        <v>41</v>
      </c>
      <c r="C526" s="1">
        <v>2022</v>
      </c>
      <c r="D526" s="1" t="s">
        <v>43</v>
      </c>
      <c r="E526" s="1" t="s">
        <v>86</v>
      </c>
      <c r="F526" s="1" t="s">
        <v>87</v>
      </c>
      <c r="G526" s="1">
        <v>1</v>
      </c>
      <c r="H526" s="1" t="s">
        <v>429</v>
      </c>
      <c r="I526" s="1" t="s">
        <v>1400</v>
      </c>
      <c r="J526" s="1" t="s">
        <v>1395</v>
      </c>
      <c r="K526" s="1" t="s">
        <v>774</v>
      </c>
      <c r="L526" s="1" t="s">
        <v>145</v>
      </c>
      <c r="M526" s="1" t="s">
        <v>51</v>
      </c>
      <c r="N526" s="1"/>
      <c r="O526" s="1">
        <f t="shared" si="8"/>
        <v>1</v>
      </c>
      <c r="P526" s="1" t="s">
        <v>467</v>
      </c>
    </row>
    <row r="527" spans="1:16" ht="69.25" customHeight="1">
      <c r="A527" s="1" t="s">
        <v>9</v>
      </c>
      <c r="B527" s="1" t="s">
        <v>41</v>
      </c>
      <c r="C527" s="1">
        <v>2022</v>
      </c>
      <c r="D527" s="1" t="s">
        <v>43</v>
      </c>
      <c r="E527" s="1" t="s">
        <v>90</v>
      </c>
      <c r="F527" s="1" t="s">
        <v>91</v>
      </c>
      <c r="G527" s="1">
        <v>0</v>
      </c>
      <c r="H527" s="1" t="s">
        <v>434</v>
      </c>
      <c r="I527" s="1" t="s">
        <v>1401</v>
      </c>
      <c r="J527" s="1" t="s">
        <v>1402</v>
      </c>
      <c r="K527" s="1" t="s">
        <v>1010</v>
      </c>
      <c r="L527" s="1" t="s">
        <v>145</v>
      </c>
      <c r="M527" s="1" t="s">
        <v>51</v>
      </c>
      <c r="N527" s="1"/>
      <c r="O527" s="1">
        <f t="shared" si="8"/>
        <v>0</v>
      </c>
      <c r="P527" s="1" t="s">
        <v>444</v>
      </c>
    </row>
    <row r="528" spans="1:16" ht="69.25" customHeight="1">
      <c r="A528" s="1" t="s">
        <v>9</v>
      </c>
      <c r="B528" s="1" t="s">
        <v>41</v>
      </c>
      <c r="C528" s="1">
        <v>2022</v>
      </c>
      <c r="D528" s="1" t="s">
        <v>43</v>
      </c>
      <c r="E528" s="1" t="s">
        <v>94</v>
      </c>
      <c r="F528" s="1" t="s">
        <v>95</v>
      </c>
      <c r="G528" s="1">
        <v>0</v>
      </c>
      <c r="H528" s="1" t="s">
        <v>445</v>
      </c>
      <c r="I528" s="1" t="s">
        <v>1403</v>
      </c>
      <c r="J528" s="1" t="s">
        <v>1402</v>
      </c>
      <c r="K528" s="1" t="s">
        <v>550</v>
      </c>
      <c r="L528" s="1" t="s">
        <v>145</v>
      </c>
      <c r="M528" s="1" t="s">
        <v>51</v>
      </c>
      <c r="N528" s="1"/>
      <c r="O528" s="1">
        <f t="shared" si="8"/>
        <v>0</v>
      </c>
      <c r="P528" s="1" t="s">
        <v>448</v>
      </c>
    </row>
    <row r="529" spans="1:16" ht="69.25" customHeight="1">
      <c r="A529" s="1" t="s">
        <v>9</v>
      </c>
      <c r="B529" s="1" t="s">
        <v>41</v>
      </c>
      <c r="C529" s="1">
        <v>2022</v>
      </c>
      <c r="D529" s="1" t="s">
        <v>43</v>
      </c>
      <c r="E529" s="1" t="s">
        <v>98</v>
      </c>
      <c r="F529" s="1" t="s">
        <v>99</v>
      </c>
      <c r="G529" s="1">
        <v>0</v>
      </c>
      <c r="H529" s="1" t="s">
        <v>445</v>
      </c>
      <c r="I529" s="1" t="s">
        <v>1404</v>
      </c>
      <c r="J529" s="1" t="s">
        <v>1395</v>
      </c>
      <c r="K529" s="1" t="s">
        <v>936</v>
      </c>
      <c r="L529" s="1" t="s">
        <v>145</v>
      </c>
      <c r="M529" s="1" t="s">
        <v>51</v>
      </c>
      <c r="N529" s="1"/>
      <c r="O529" s="1">
        <f t="shared" si="8"/>
        <v>0</v>
      </c>
      <c r="P529" s="1" t="s">
        <v>448</v>
      </c>
    </row>
    <row r="530" spans="1:16" ht="69.25" customHeight="1">
      <c r="A530" s="1" t="s">
        <v>9</v>
      </c>
      <c r="B530" s="1" t="s">
        <v>41</v>
      </c>
      <c r="C530" s="1">
        <v>2022</v>
      </c>
      <c r="D530" s="1" t="s">
        <v>43</v>
      </c>
      <c r="E530" s="1" t="s">
        <v>102</v>
      </c>
      <c r="F530" s="1" t="s">
        <v>103</v>
      </c>
      <c r="G530" s="1">
        <v>0</v>
      </c>
      <c r="H530" s="1" t="s">
        <v>434</v>
      </c>
      <c r="I530" s="1" t="s">
        <v>1405</v>
      </c>
      <c r="J530" s="1" t="s">
        <v>1402</v>
      </c>
      <c r="K530" s="1" t="s">
        <v>868</v>
      </c>
      <c r="L530" s="1" t="s">
        <v>145</v>
      </c>
      <c r="M530" s="1" t="s">
        <v>51</v>
      </c>
      <c r="N530" s="1"/>
      <c r="O530" s="1">
        <f t="shared" si="8"/>
        <v>0</v>
      </c>
      <c r="P530" s="1" t="s">
        <v>452</v>
      </c>
    </row>
    <row r="531" spans="1:16" ht="69.25" customHeight="1">
      <c r="A531" s="1" t="s">
        <v>9</v>
      </c>
      <c r="B531" s="1" t="s">
        <v>41</v>
      </c>
      <c r="C531" s="1">
        <v>2022</v>
      </c>
      <c r="D531" s="1" t="s">
        <v>43</v>
      </c>
      <c r="E531" s="1" t="s">
        <v>106</v>
      </c>
      <c r="F531" s="1" t="s">
        <v>107</v>
      </c>
      <c r="G531" s="1">
        <v>0</v>
      </c>
      <c r="H531" s="1" t="s">
        <v>434</v>
      </c>
      <c r="I531" s="1" t="s">
        <v>1406</v>
      </c>
      <c r="J531" s="1" t="s">
        <v>1402</v>
      </c>
      <c r="K531" s="1" t="s">
        <v>1407</v>
      </c>
      <c r="L531" s="1" t="s">
        <v>145</v>
      </c>
      <c r="M531" s="1" t="s">
        <v>51</v>
      </c>
      <c r="N531" s="1"/>
      <c r="O531" s="1">
        <f t="shared" si="8"/>
        <v>0</v>
      </c>
      <c r="P531" s="1" t="s">
        <v>454</v>
      </c>
    </row>
    <row r="532" spans="1:16" ht="69.25" customHeight="1">
      <c r="A532" s="1" t="s">
        <v>9</v>
      </c>
      <c r="B532" s="1" t="s">
        <v>41</v>
      </c>
      <c r="C532" s="1">
        <v>2023</v>
      </c>
      <c r="D532" s="1" t="s">
        <v>43</v>
      </c>
      <c r="E532" s="1" t="s">
        <v>70</v>
      </c>
      <c r="F532" s="1" t="s">
        <v>71</v>
      </c>
      <c r="G532" s="1">
        <v>1</v>
      </c>
      <c r="H532" s="1" t="s">
        <v>429</v>
      </c>
      <c r="I532" s="1" t="s">
        <v>1408</v>
      </c>
      <c r="J532" s="1" t="s">
        <v>1409</v>
      </c>
      <c r="K532" s="1" t="s">
        <v>608</v>
      </c>
      <c r="L532" s="1" t="s">
        <v>145</v>
      </c>
      <c r="M532" s="1" t="s">
        <v>51</v>
      </c>
      <c r="N532" s="1"/>
      <c r="O532" s="1">
        <f t="shared" si="8"/>
        <v>1</v>
      </c>
      <c r="P532" s="1" t="s">
        <v>433</v>
      </c>
    </row>
    <row r="533" spans="1:16" ht="69.25" customHeight="1">
      <c r="A533" s="1" t="s">
        <v>9</v>
      </c>
      <c r="B533" s="1" t="s">
        <v>41</v>
      </c>
      <c r="C533" s="1">
        <v>2023</v>
      </c>
      <c r="D533" s="1" t="s">
        <v>43</v>
      </c>
      <c r="E533" s="1" t="s">
        <v>74</v>
      </c>
      <c r="F533" s="1" t="s">
        <v>75</v>
      </c>
      <c r="G533" s="1">
        <v>0</v>
      </c>
      <c r="H533" s="1" t="s">
        <v>434</v>
      </c>
      <c r="I533" s="1" t="s">
        <v>1410</v>
      </c>
      <c r="J533" s="1" t="s">
        <v>1409</v>
      </c>
      <c r="K533" s="1" t="s">
        <v>844</v>
      </c>
      <c r="L533" s="1" t="s">
        <v>145</v>
      </c>
      <c r="M533" s="1" t="s">
        <v>51</v>
      </c>
      <c r="N533" s="1"/>
      <c r="O533" s="1">
        <f t="shared" si="8"/>
        <v>0</v>
      </c>
      <c r="P533" s="1" t="s">
        <v>437</v>
      </c>
    </row>
    <row r="534" spans="1:16" ht="69.25" customHeight="1">
      <c r="A534" s="1" t="s">
        <v>9</v>
      </c>
      <c r="B534" s="1" t="s">
        <v>41</v>
      </c>
      <c r="C534" s="1">
        <v>2023</v>
      </c>
      <c r="D534" s="1" t="s">
        <v>43</v>
      </c>
      <c r="E534" s="1" t="s">
        <v>78</v>
      </c>
      <c r="F534" s="1" t="s">
        <v>79</v>
      </c>
      <c r="G534" s="1">
        <v>0</v>
      </c>
      <c r="H534" s="1" t="s">
        <v>434</v>
      </c>
      <c r="I534" s="1" t="s">
        <v>1411</v>
      </c>
      <c r="J534" s="1" t="s">
        <v>1412</v>
      </c>
      <c r="K534" s="1" t="s">
        <v>555</v>
      </c>
      <c r="L534" s="1" t="s">
        <v>145</v>
      </c>
      <c r="M534" s="1" t="s">
        <v>51</v>
      </c>
      <c r="N534" s="1"/>
      <c r="O534" s="1">
        <f t="shared" si="8"/>
        <v>0</v>
      </c>
      <c r="P534" s="1" t="s">
        <v>439</v>
      </c>
    </row>
    <row r="535" spans="1:16" ht="69.25" customHeight="1">
      <c r="A535" s="1" t="s">
        <v>9</v>
      </c>
      <c r="B535" s="1" t="s">
        <v>41</v>
      </c>
      <c r="C535" s="1">
        <v>2023</v>
      </c>
      <c r="D535" s="1" t="s">
        <v>43</v>
      </c>
      <c r="E535" s="1" t="s">
        <v>82</v>
      </c>
      <c r="F535" s="1" t="s">
        <v>83</v>
      </c>
      <c r="G535" s="1">
        <v>1</v>
      </c>
      <c r="H535" s="1" t="s">
        <v>429</v>
      </c>
      <c r="I535" s="1" t="s">
        <v>1413</v>
      </c>
      <c r="J535" s="1" t="s">
        <v>1409</v>
      </c>
      <c r="K535" s="1" t="s">
        <v>1414</v>
      </c>
      <c r="L535" s="1" t="s">
        <v>145</v>
      </c>
      <c r="M535" s="1" t="s">
        <v>51</v>
      </c>
      <c r="N535" s="1"/>
      <c r="O535" s="1">
        <f t="shared" si="8"/>
        <v>1</v>
      </c>
      <c r="P535" s="1" t="s">
        <v>465</v>
      </c>
    </row>
    <row r="536" spans="1:16" ht="69.25" customHeight="1">
      <c r="A536" s="1" t="s">
        <v>9</v>
      </c>
      <c r="B536" s="1" t="s">
        <v>41</v>
      </c>
      <c r="C536" s="1">
        <v>2023</v>
      </c>
      <c r="D536" s="1" t="s">
        <v>43</v>
      </c>
      <c r="E536" s="1" t="s">
        <v>86</v>
      </c>
      <c r="F536" s="1" t="s">
        <v>87</v>
      </c>
      <c r="G536" s="1">
        <v>1</v>
      </c>
      <c r="H536" s="1" t="s">
        <v>429</v>
      </c>
      <c r="I536" s="1" t="s">
        <v>1415</v>
      </c>
      <c r="J536" s="1" t="s">
        <v>1409</v>
      </c>
      <c r="K536" s="1" t="s">
        <v>1414</v>
      </c>
      <c r="L536" s="1" t="s">
        <v>145</v>
      </c>
      <c r="M536" s="1" t="s">
        <v>51</v>
      </c>
      <c r="N536" s="1"/>
      <c r="O536" s="1">
        <f t="shared" si="8"/>
        <v>1</v>
      </c>
      <c r="P536" s="1" t="s">
        <v>467</v>
      </c>
    </row>
    <row r="537" spans="1:16" ht="69.25" customHeight="1">
      <c r="A537" s="1" t="s">
        <v>9</v>
      </c>
      <c r="B537" s="1" t="s">
        <v>41</v>
      </c>
      <c r="C537" s="1">
        <v>2023</v>
      </c>
      <c r="D537" s="1" t="s">
        <v>43</v>
      </c>
      <c r="E537" s="1" t="s">
        <v>90</v>
      </c>
      <c r="F537" s="1" t="s">
        <v>91</v>
      </c>
      <c r="G537" s="1">
        <v>0</v>
      </c>
      <c r="H537" s="1" t="s">
        <v>445</v>
      </c>
      <c r="I537" s="1" t="s">
        <v>1416</v>
      </c>
      <c r="J537" s="1" t="s">
        <v>1409</v>
      </c>
      <c r="K537" s="1" t="s">
        <v>699</v>
      </c>
      <c r="L537" s="1" t="s">
        <v>145</v>
      </c>
      <c r="M537" s="1" t="s">
        <v>51</v>
      </c>
      <c r="N537" s="1"/>
      <c r="O537" s="1">
        <f t="shared" si="8"/>
        <v>0</v>
      </c>
      <c r="P537" s="1" t="s">
        <v>448</v>
      </c>
    </row>
    <row r="538" spans="1:16" ht="69.25" customHeight="1">
      <c r="A538" s="1" t="s">
        <v>9</v>
      </c>
      <c r="B538" s="1" t="s">
        <v>41</v>
      </c>
      <c r="C538" s="1">
        <v>2023</v>
      </c>
      <c r="D538" s="1" t="s">
        <v>43</v>
      </c>
      <c r="E538" s="1" t="s">
        <v>94</v>
      </c>
      <c r="F538" s="1" t="s">
        <v>95</v>
      </c>
      <c r="G538" s="1">
        <v>0</v>
      </c>
      <c r="H538" s="1" t="s">
        <v>445</v>
      </c>
      <c r="I538" s="1" t="s">
        <v>1417</v>
      </c>
      <c r="J538" s="1" t="s">
        <v>1412</v>
      </c>
      <c r="K538" s="1" t="s">
        <v>1238</v>
      </c>
      <c r="L538" s="1" t="s">
        <v>145</v>
      </c>
      <c r="M538" s="1" t="s">
        <v>51</v>
      </c>
      <c r="N538" s="1"/>
      <c r="O538" s="1">
        <f t="shared" si="8"/>
        <v>0</v>
      </c>
      <c r="P538" s="1" t="s">
        <v>448</v>
      </c>
    </row>
    <row r="539" spans="1:16" ht="69.25" customHeight="1">
      <c r="A539" s="1" t="s">
        <v>9</v>
      </c>
      <c r="B539" s="1" t="s">
        <v>41</v>
      </c>
      <c r="C539" s="1">
        <v>2023</v>
      </c>
      <c r="D539" s="1" t="s">
        <v>43</v>
      </c>
      <c r="E539" s="1" t="s">
        <v>98</v>
      </c>
      <c r="F539" s="1" t="s">
        <v>99</v>
      </c>
      <c r="G539" s="1">
        <v>1</v>
      </c>
      <c r="H539" s="1" t="s">
        <v>429</v>
      </c>
      <c r="I539" s="1" t="s">
        <v>1418</v>
      </c>
      <c r="J539" s="1" t="s">
        <v>1409</v>
      </c>
      <c r="K539" s="1" t="s">
        <v>1419</v>
      </c>
      <c r="L539" s="1" t="s">
        <v>145</v>
      </c>
      <c r="M539" s="1" t="s">
        <v>51</v>
      </c>
      <c r="N539" s="1"/>
      <c r="O539" s="1">
        <f t="shared" si="8"/>
        <v>1</v>
      </c>
      <c r="P539" s="1" t="s">
        <v>451</v>
      </c>
    </row>
    <row r="540" spans="1:16" ht="69.25" customHeight="1">
      <c r="A540" s="1" t="s">
        <v>9</v>
      </c>
      <c r="B540" s="1" t="s">
        <v>41</v>
      </c>
      <c r="C540" s="1">
        <v>2023</v>
      </c>
      <c r="D540" s="1" t="s">
        <v>43</v>
      </c>
      <c r="E540" s="1" t="s">
        <v>102</v>
      </c>
      <c r="F540" s="1" t="s">
        <v>103</v>
      </c>
      <c r="G540" s="1">
        <v>1</v>
      </c>
      <c r="H540" s="1" t="s">
        <v>429</v>
      </c>
      <c r="I540" s="1" t="s">
        <v>1420</v>
      </c>
      <c r="J540" s="1" t="s">
        <v>1409</v>
      </c>
      <c r="K540" s="1" t="s">
        <v>844</v>
      </c>
      <c r="L540" s="1" t="s">
        <v>145</v>
      </c>
      <c r="M540" s="1" t="s">
        <v>51</v>
      </c>
      <c r="N540" s="1"/>
      <c r="O540" s="1">
        <f t="shared" si="8"/>
        <v>1</v>
      </c>
      <c r="P540" s="1" t="s">
        <v>475</v>
      </c>
    </row>
    <row r="541" spans="1:16" ht="69.25" customHeight="1">
      <c r="A541" s="1" t="s">
        <v>9</v>
      </c>
      <c r="B541" s="1" t="s">
        <v>41</v>
      </c>
      <c r="C541" s="1">
        <v>2023</v>
      </c>
      <c r="D541" s="1" t="s">
        <v>43</v>
      </c>
      <c r="E541" s="1" t="s">
        <v>106</v>
      </c>
      <c r="F541" s="1" t="s">
        <v>107</v>
      </c>
      <c r="G541" s="1">
        <v>0</v>
      </c>
      <c r="H541" s="1" t="s">
        <v>445</v>
      </c>
      <c r="I541" s="1" t="s">
        <v>1421</v>
      </c>
      <c r="J541" s="1" t="s">
        <v>1409</v>
      </c>
      <c r="K541" s="1" t="s">
        <v>1327</v>
      </c>
      <c r="L541" s="1" t="s">
        <v>145</v>
      </c>
      <c r="M541" s="1" t="s">
        <v>51</v>
      </c>
      <c r="N541" s="1"/>
      <c r="O541" s="1">
        <f t="shared" si="8"/>
        <v>0</v>
      </c>
      <c r="P541" s="1" t="s">
        <v>448</v>
      </c>
    </row>
    <row r="542" spans="1:16" ht="69.25" customHeight="1">
      <c r="A542" s="1" t="s">
        <v>9</v>
      </c>
      <c r="B542" s="1" t="s">
        <v>41</v>
      </c>
      <c r="C542" s="1">
        <v>2024</v>
      </c>
      <c r="D542" s="1" t="s">
        <v>43</v>
      </c>
      <c r="E542" s="1" t="s">
        <v>70</v>
      </c>
      <c r="F542" s="1" t="s">
        <v>71</v>
      </c>
      <c r="G542" s="1">
        <v>0</v>
      </c>
      <c r="H542" s="1" t="s">
        <v>434</v>
      </c>
      <c r="I542" s="1" t="s">
        <v>1422</v>
      </c>
      <c r="J542" s="1" t="s">
        <v>1423</v>
      </c>
      <c r="K542" s="1" t="s">
        <v>1070</v>
      </c>
      <c r="L542" s="1" t="s">
        <v>145</v>
      </c>
      <c r="M542" s="1" t="s">
        <v>51</v>
      </c>
      <c r="N542" s="1"/>
      <c r="O542" s="1">
        <f t="shared" si="8"/>
        <v>0</v>
      </c>
      <c r="P542" s="1" t="s">
        <v>700</v>
      </c>
    </row>
    <row r="543" spans="1:16" ht="69.25" customHeight="1">
      <c r="A543" s="1" t="s">
        <v>9</v>
      </c>
      <c r="B543" s="1" t="s">
        <v>41</v>
      </c>
      <c r="C543" s="1">
        <v>2024</v>
      </c>
      <c r="D543" s="1" t="s">
        <v>43</v>
      </c>
      <c r="E543" s="1" t="s">
        <v>74</v>
      </c>
      <c r="F543" s="1" t="s">
        <v>75</v>
      </c>
      <c r="G543" s="1">
        <v>0</v>
      </c>
      <c r="H543" s="1" t="s">
        <v>434</v>
      </c>
      <c r="I543" s="1" t="s">
        <v>1424</v>
      </c>
      <c r="J543" s="1" t="s">
        <v>1423</v>
      </c>
      <c r="K543" s="1" t="s">
        <v>1425</v>
      </c>
      <c r="L543" s="1" t="s">
        <v>145</v>
      </c>
      <c r="M543" s="1" t="s">
        <v>51</v>
      </c>
      <c r="N543" s="1"/>
      <c r="O543" s="1">
        <f t="shared" si="8"/>
        <v>0</v>
      </c>
      <c r="P543" s="1" t="s">
        <v>437</v>
      </c>
    </row>
    <row r="544" spans="1:16" ht="69.25" customHeight="1">
      <c r="A544" s="1" t="s">
        <v>9</v>
      </c>
      <c r="B544" s="1" t="s">
        <v>41</v>
      </c>
      <c r="C544" s="1">
        <v>2024</v>
      </c>
      <c r="D544" s="1" t="s">
        <v>43</v>
      </c>
      <c r="E544" s="1" t="s">
        <v>78</v>
      </c>
      <c r="F544" s="1" t="s">
        <v>79</v>
      </c>
      <c r="G544" s="1">
        <v>0</v>
      </c>
      <c r="H544" s="1" t="s">
        <v>434</v>
      </c>
      <c r="I544" s="1" t="s">
        <v>1426</v>
      </c>
      <c r="J544" s="1" t="s">
        <v>1427</v>
      </c>
      <c r="K544" s="1" t="s">
        <v>774</v>
      </c>
      <c r="L544" s="1" t="s">
        <v>145</v>
      </c>
      <c r="M544" s="1" t="s">
        <v>51</v>
      </c>
      <c r="N544" s="1"/>
      <c r="O544" s="1">
        <f t="shared" si="8"/>
        <v>0</v>
      </c>
      <c r="P544" s="1" t="s">
        <v>439</v>
      </c>
    </row>
    <row r="545" spans="1:16" ht="69.25" customHeight="1">
      <c r="A545" s="1" t="s">
        <v>9</v>
      </c>
      <c r="B545" s="1" t="s">
        <v>41</v>
      </c>
      <c r="C545" s="1">
        <v>2024</v>
      </c>
      <c r="D545" s="1" t="s">
        <v>43</v>
      </c>
      <c r="E545" s="1" t="s">
        <v>82</v>
      </c>
      <c r="F545" s="1" t="s">
        <v>83</v>
      </c>
      <c r="G545" s="1">
        <v>1</v>
      </c>
      <c r="H545" s="1" t="s">
        <v>429</v>
      </c>
      <c r="I545" s="1" t="s">
        <v>1428</v>
      </c>
      <c r="J545" s="1" t="s">
        <v>1427</v>
      </c>
      <c r="K545" s="1" t="s">
        <v>774</v>
      </c>
      <c r="L545" s="1" t="s">
        <v>145</v>
      </c>
      <c r="M545" s="1" t="s">
        <v>51</v>
      </c>
      <c r="N545" s="1"/>
      <c r="O545" s="1">
        <f t="shared" si="8"/>
        <v>1</v>
      </c>
      <c r="P545" s="1" t="s">
        <v>465</v>
      </c>
    </row>
    <row r="546" spans="1:16" ht="69.25" customHeight="1">
      <c r="A546" s="1" t="s">
        <v>9</v>
      </c>
      <c r="B546" s="1" t="s">
        <v>41</v>
      </c>
      <c r="C546" s="1">
        <v>2024</v>
      </c>
      <c r="D546" s="1" t="s">
        <v>43</v>
      </c>
      <c r="E546" s="1" t="s">
        <v>86</v>
      </c>
      <c r="F546" s="1" t="s">
        <v>87</v>
      </c>
      <c r="G546" s="1">
        <v>1</v>
      </c>
      <c r="H546" s="1" t="s">
        <v>429</v>
      </c>
      <c r="I546" s="1" t="s">
        <v>1429</v>
      </c>
      <c r="J546" s="1" t="s">
        <v>1427</v>
      </c>
      <c r="K546" s="1" t="s">
        <v>774</v>
      </c>
      <c r="L546" s="1" t="s">
        <v>145</v>
      </c>
      <c r="M546" s="1" t="s">
        <v>51</v>
      </c>
      <c r="N546" s="1"/>
      <c r="O546" s="1">
        <f t="shared" si="8"/>
        <v>1</v>
      </c>
      <c r="P546" s="1" t="s">
        <v>467</v>
      </c>
    </row>
    <row r="547" spans="1:16" ht="69.25" customHeight="1">
      <c r="A547" s="1" t="s">
        <v>9</v>
      </c>
      <c r="B547" s="1" t="s">
        <v>41</v>
      </c>
      <c r="C547" s="1">
        <v>2024</v>
      </c>
      <c r="D547" s="1" t="s">
        <v>43</v>
      </c>
      <c r="E547" s="1" t="s">
        <v>90</v>
      </c>
      <c r="F547" s="1" t="s">
        <v>91</v>
      </c>
      <c r="G547" s="1">
        <v>1</v>
      </c>
      <c r="H547" s="1" t="s">
        <v>429</v>
      </c>
      <c r="I547" s="1" t="s">
        <v>1428</v>
      </c>
      <c r="J547" s="1" t="s">
        <v>1427</v>
      </c>
      <c r="K547" s="1" t="s">
        <v>774</v>
      </c>
      <c r="L547" s="1" t="s">
        <v>145</v>
      </c>
      <c r="M547" s="1" t="s">
        <v>51</v>
      </c>
      <c r="N547" s="1"/>
      <c r="O547" s="1">
        <f t="shared" si="8"/>
        <v>1</v>
      </c>
      <c r="P547" s="1" t="s">
        <v>526</v>
      </c>
    </row>
    <row r="548" spans="1:16" ht="69.25" customHeight="1">
      <c r="A548" s="1" t="s">
        <v>9</v>
      </c>
      <c r="B548" s="1" t="s">
        <v>41</v>
      </c>
      <c r="C548" s="1">
        <v>2024</v>
      </c>
      <c r="D548" s="1" t="s">
        <v>43</v>
      </c>
      <c r="E548" s="1" t="s">
        <v>94</v>
      </c>
      <c r="F548" s="1" t="s">
        <v>95</v>
      </c>
      <c r="G548" s="1">
        <v>0</v>
      </c>
      <c r="H548" s="1" t="s">
        <v>445</v>
      </c>
      <c r="I548" s="1" t="s">
        <v>1430</v>
      </c>
      <c r="J548" s="1" t="s">
        <v>1427</v>
      </c>
      <c r="K548" s="1" t="s">
        <v>1431</v>
      </c>
      <c r="L548" s="1" t="s">
        <v>145</v>
      </c>
      <c r="M548" s="1" t="s">
        <v>51</v>
      </c>
      <c r="N548" s="1"/>
      <c r="O548" s="1">
        <f t="shared" si="8"/>
        <v>0</v>
      </c>
      <c r="P548" s="1" t="s">
        <v>448</v>
      </c>
    </row>
    <row r="549" spans="1:16" ht="69.25" customHeight="1">
      <c r="A549" s="1" t="s">
        <v>9</v>
      </c>
      <c r="B549" s="1" t="s">
        <v>41</v>
      </c>
      <c r="C549" s="1">
        <v>2024</v>
      </c>
      <c r="D549" s="1" t="s">
        <v>43</v>
      </c>
      <c r="E549" s="1" t="s">
        <v>98</v>
      </c>
      <c r="F549" s="1" t="s">
        <v>99</v>
      </c>
      <c r="G549" s="1">
        <v>0</v>
      </c>
      <c r="H549" s="1" t="s">
        <v>445</v>
      </c>
      <c r="I549" s="1" t="s">
        <v>1432</v>
      </c>
      <c r="J549" s="1" t="s">
        <v>1427</v>
      </c>
      <c r="K549" s="1" t="s">
        <v>469</v>
      </c>
      <c r="L549" s="1" t="s">
        <v>145</v>
      </c>
      <c r="M549" s="1" t="s">
        <v>51</v>
      </c>
      <c r="N549" s="1"/>
      <c r="O549" s="1">
        <f t="shared" si="8"/>
        <v>0</v>
      </c>
      <c r="P549" s="1" t="s">
        <v>448</v>
      </c>
    </row>
    <row r="550" spans="1:16" ht="69.25" customHeight="1">
      <c r="A550" s="1" t="s">
        <v>9</v>
      </c>
      <c r="B550" s="1" t="s">
        <v>41</v>
      </c>
      <c r="C550" s="1">
        <v>2024</v>
      </c>
      <c r="D550" s="1" t="s">
        <v>43</v>
      </c>
      <c r="E550" s="1" t="s">
        <v>102</v>
      </c>
      <c r="F550" s="1" t="s">
        <v>103</v>
      </c>
      <c r="G550" s="1">
        <v>0</v>
      </c>
      <c r="H550" s="1" t="s">
        <v>434</v>
      </c>
      <c r="I550" s="1" t="s">
        <v>1424</v>
      </c>
      <c r="J550" s="1" t="s">
        <v>1423</v>
      </c>
      <c r="K550" s="1" t="s">
        <v>1425</v>
      </c>
      <c r="L550" s="1" t="s">
        <v>145</v>
      </c>
      <c r="M550" s="1" t="s">
        <v>51</v>
      </c>
      <c r="N550" s="1"/>
      <c r="O550" s="1">
        <f t="shared" si="8"/>
        <v>0</v>
      </c>
      <c r="P550" s="1" t="s">
        <v>452</v>
      </c>
    </row>
    <row r="551" spans="1:16" ht="69.25" customHeight="1">
      <c r="A551" s="1" t="s">
        <v>9</v>
      </c>
      <c r="B551" s="1" t="s">
        <v>41</v>
      </c>
      <c r="C551" s="1">
        <v>2024</v>
      </c>
      <c r="D551" s="1" t="s">
        <v>43</v>
      </c>
      <c r="E551" s="1" t="s">
        <v>106</v>
      </c>
      <c r="F551" s="1" t="s">
        <v>107</v>
      </c>
      <c r="G551" s="1">
        <v>0</v>
      </c>
      <c r="H551" s="1" t="s">
        <v>445</v>
      </c>
      <c r="I551" s="1" t="s">
        <v>1433</v>
      </c>
      <c r="J551" s="1" t="s">
        <v>1423</v>
      </c>
      <c r="K551" s="1" t="s">
        <v>1434</v>
      </c>
      <c r="L551" s="1" t="s">
        <v>145</v>
      </c>
      <c r="M551" s="1" t="s">
        <v>51</v>
      </c>
      <c r="N551" s="1"/>
      <c r="O551" s="1">
        <f t="shared" si="8"/>
        <v>0</v>
      </c>
      <c r="P551" s="1" t="s">
        <v>448</v>
      </c>
    </row>
    <row r="552" spans="1:16" ht="69.25" customHeight="1">
      <c r="A552" s="1" t="s">
        <v>9</v>
      </c>
      <c r="B552" s="1" t="s">
        <v>41</v>
      </c>
      <c r="C552" s="1">
        <v>2025</v>
      </c>
      <c r="D552" s="1" t="s">
        <v>43</v>
      </c>
      <c r="E552" s="1" t="s">
        <v>70</v>
      </c>
      <c r="F552" s="1" t="s">
        <v>71</v>
      </c>
      <c r="G552" s="1">
        <v>1</v>
      </c>
      <c r="H552" s="1" t="s">
        <v>429</v>
      </c>
      <c r="I552" s="1" t="s">
        <v>1435</v>
      </c>
      <c r="J552" s="1" t="s">
        <v>1436</v>
      </c>
      <c r="K552" s="1" t="s">
        <v>1373</v>
      </c>
      <c r="L552" s="1" t="s">
        <v>145</v>
      </c>
      <c r="M552" s="1" t="s">
        <v>51</v>
      </c>
      <c r="N552" s="1"/>
      <c r="O552" s="1">
        <f t="shared" si="8"/>
        <v>1</v>
      </c>
      <c r="P552" s="1" t="s">
        <v>433</v>
      </c>
    </row>
    <row r="553" spans="1:16" ht="69.25" customHeight="1">
      <c r="A553" s="1" t="s">
        <v>9</v>
      </c>
      <c r="B553" s="1" t="s">
        <v>41</v>
      </c>
      <c r="C553" s="1">
        <v>2025</v>
      </c>
      <c r="D553" s="1" t="s">
        <v>43</v>
      </c>
      <c r="E553" s="1" t="s">
        <v>74</v>
      </c>
      <c r="F553" s="1" t="s">
        <v>75</v>
      </c>
      <c r="G553" s="1">
        <v>0</v>
      </c>
      <c r="H553" s="1" t="s">
        <v>445</v>
      </c>
      <c r="I553" s="1" t="s">
        <v>1437</v>
      </c>
      <c r="J553" s="1" t="s">
        <v>1436</v>
      </c>
      <c r="K553" s="1" t="s">
        <v>1373</v>
      </c>
      <c r="L553" s="1" t="s">
        <v>145</v>
      </c>
      <c r="M553" s="1" t="s">
        <v>51</v>
      </c>
      <c r="N553" s="1"/>
      <c r="O553" s="1">
        <f t="shared" si="8"/>
        <v>0</v>
      </c>
      <c r="P553" s="1" t="s">
        <v>448</v>
      </c>
    </row>
    <row r="554" spans="1:16" ht="69.25" customHeight="1">
      <c r="A554" s="1" t="s">
        <v>9</v>
      </c>
      <c r="B554" s="1" t="s">
        <v>41</v>
      </c>
      <c r="C554" s="1">
        <v>2025</v>
      </c>
      <c r="D554" s="1" t="s">
        <v>43</v>
      </c>
      <c r="E554" s="1" t="s">
        <v>78</v>
      </c>
      <c r="F554" s="1" t="s">
        <v>79</v>
      </c>
      <c r="G554" s="1">
        <v>0</v>
      </c>
      <c r="H554" s="1" t="s">
        <v>434</v>
      </c>
      <c r="I554" s="1" t="s">
        <v>1438</v>
      </c>
      <c r="J554" s="1" t="s">
        <v>1436</v>
      </c>
      <c r="K554" s="1" t="s">
        <v>1373</v>
      </c>
      <c r="L554" s="1" t="s">
        <v>145</v>
      </c>
      <c r="M554" s="1" t="s">
        <v>51</v>
      </c>
      <c r="N554" s="1"/>
      <c r="O554" s="1">
        <f t="shared" si="8"/>
        <v>0</v>
      </c>
      <c r="P554" s="1" t="s">
        <v>439</v>
      </c>
    </row>
    <row r="555" spans="1:16" ht="69.25" customHeight="1">
      <c r="A555" s="1" t="s">
        <v>9</v>
      </c>
      <c r="B555" s="1" t="s">
        <v>41</v>
      </c>
      <c r="C555" s="1">
        <v>2025</v>
      </c>
      <c r="D555" s="1" t="s">
        <v>43</v>
      </c>
      <c r="E555" s="1" t="s">
        <v>82</v>
      </c>
      <c r="F555" s="1" t="s">
        <v>83</v>
      </c>
      <c r="G555" s="1">
        <v>1</v>
      </c>
      <c r="H555" s="1" t="s">
        <v>429</v>
      </c>
      <c r="I555" s="1" t="s">
        <v>1439</v>
      </c>
      <c r="J555" s="1" t="s">
        <v>1436</v>
      </c>
      <c r="K555" s="1" t="s">
        <v>696</v>
      </c>
      <c r="L555" s="1" t="s">
        <v>145</v>
      </c>
      <c r="M555" s="1" t="s">
        <v>51</v>
      </c>
      <c r="N555" s="1"/>
      <c r="O555" s="1">
        <f t="shared" si="8"/>
        <v>1</v>
      </c>
      <c r="P555" s="1" t="s">
        <v>465</v>
      </c>
    </row>
    <row r="556" spans="1:16" ht="69.25" customHeight="1">
      <c r="A556" s="1" t="s">
        <v>9</v>
      </c>
      <c r="B556" s="1" t="s">
        <v>41</v>
      </c>
      <c r="C556" s="1">
        <v>2025</v>
      </c>
      <c r="D556" s="1" t="s">
        <v>43</v>
      </c>
      <c r="E556" s="1" t="s">
        <v>86</v>
      </c>
      <c r="F556" s="1" t="s">
        <v>87</v>
      </c>
      <c r="G556" s="1">
        <v>1</v>
      </c>
      <c r="H556" s="1" t="s">
        <v>429</v>
      </c>
      <c r="I556" s="1" t="s">
        <v>1440</v>
      </c>
      <c r="J556" s="1" t="s">
        <v>1436</v>
      </c>
      <c r="K556" s="1" t="s">
        <v>1373</v>
      </c>
      <c r="L556" s="1" t="s">
        <v>145</v>
      </c>
      <c r="M556" s="1" t="s">
        <v>51</v>
      </c>
      <c r="N556" s="1"/>
      <c r="O556" s="1">
        <f t="shared" si="8"/>
        <v>1</v>
      </c>
      <c r="P556" s="1" t="s">
        <v>467</v>
      </c>
    </row>
    <row r="557" spans="1:16" ht="69.25" customHeight="1">
      <c r="A557" s="1" t="s">
        <v>9</v>
      </c>
      <c r="B557" s="1" t="s">
        <v>41</v>
      </c>
      <c r="C557" s="1">
        <v>2025</v>
      </c>
      <c r="D557" s="1" t="s">
        <v>43</v>
      </c>
      <c r="E557" s="1" t="s">
        <v>90</v>
      </c>
      <c r="F557" s="1" t="s">
        <v>91</v>
      </c>
      <c r="G557" s="1">
        <v>0</v>
      </c>
      <c r="H557" s="1" t="s">
        <v>434</v>
      </c>
      <c r="I557" s="1" t="s">
        <v>1441</v>
      </c>
      <c r="J557" s="1" t="s">
        <v>1436</v>
      </c>
      <c r="K557" s="1" t="s">
        <v>1442</v>
      </c>
      <c r="L557" s="1" t="s">
        <v>145</v>
      </c>
      <c r="M557" s="1" t="s">
        <v>51</v>
      </c>
      <c r="N557" s="1"/>
      <c r="O557" s="1">
        <f t="shared" si="8"/>
        <v>0</v>
      </c>
      <c r="P557" s="1" t="s">
        <v>444</v>
      </c>
    </row>
    <row r="558" spans="1:16" ht="69.25" customHeight="1">
      <c r="A558" s="1" t="s">
        <v>9</v>
      </c>
      <c r="B558" s="1" t="s">
        <v>41</v>
      </c>
      <c r="C558" s="1">
        <v>2025</v>
      </c>
      <c r="D558" s="1" t="s">
        <v>43</v>
      </c>
      <c r="E558" s="1" t="s">
        <v>94</v>
      </c>
      <c r="F558" s="1" t="s">
        <v>95</v>
      </c>
      <c r="G558" s="1">
        <v>0</v>
      </c>
      <c r="H558" s="1" t="s">
        <v>445</v>
      </c>
      <c r="I558" s="1" t="s">
        <v>1443</v>
      </c>
      <c r="J558" s="1" t="s">
        <v>1436</v>
      </c>
      <c r="K558" s="1" t="s">
        <v>1444</v>
      </c>
      <c r="L558" s="1" t="s">
        <v>145</v>
      </c>
      <c r="M558" s="1" t="s">
        <v>51</v>
      </c>
      <c r="N558" s="1"/>
      <c r="O558" s="1">
        <f t="shared" si="8"/>
        <v>0</v>
      </c>
      <c r="P558" s="1" t="s">
        <v>448</v>
      </c>
    </row>
    <row r="559" spans="1:16" ht="69.25" customHeight="1">
      <c r="A559" s="1" t="s">
        <v>9</v>
      </c>
      <c r="B559" s="1" t="s">
        <v>41</v>
      </c>
      <c r="C559" s="1">
        <v>2025</v>
      </c>
      <c r="D559" s="1" t="s">
        <v>43</v>
      </c>
      <c r="E559" s="1" t="s">
        <v>98</v>
      </c>
      <c r="F559" s="1" t="s">
        <v>99</v>
      </c>
      <c r="G559" s="1">
        <v>0</v>
      </c>
      <c r="H559" s="1" t="s">
        <v>434</v>
      </c>
      <c r="I559" s="1" t="s">
        <v>1445</v>
      </c>
      <c r="J559" s="1" t="s">
        <v>1436</v>
      </c>
      <c r="K559" s="1" t="s">
        <v>1290</v>
      </c>
      <c r="L559" s="1" t="s">
        <v>145</v>
      </c>
      <c r="M559" s="1" t="s">
        <v>51</v>
      </c>
      <c r="N559" s="1"/>
      <c r="O559" s="1">
        <f t="shared" si="8"/>
        <v>0</v>
      </c>
      <c r="P559" s="1" t="s">
        <v>472</v>
      </c>
    </row>
    <row r="560" spans="1:16" ht="69.25" customHeight="1">
      <c r="A560" s="1" t="s">
        <v>9</v>
      </c>
      <c r="B560" s="1" t="s">
        <v>41</v>
      </c>
      <c r="C560" s="1">
        <v>2025</v>
      </c>
      <c r="D560" s="1" t="s">
        <v>43</v>
      </c>
      <c r="E560" s="1" t="s">
        <v>102</v>
      </c>
      <c r="F560" s="1" t="s">
        <v>103</v>
      </c>
      <c r="G560" s="1">
        <v>0</v>
      </c>
      <c r="H560" s="1" t="s">
        <v>445</v>
      </c>
      <c r="I560" s="1" t="s">
        <v>1446</v>
      </c>
      <c r="J560" s="1" t="s">
        <v>1436</v>
      </c>
      <c r="K560" s="1" t="s">
        <v>1373</v>
      </c>
      <c r="L560" s="1" t="s">
        <v>145</v>
      </c>
      <c r="M560" s="1" t="s">
        <v>51</v>
      </c>
      <c r="N560" s="1"/>
      <c r="O560" s="1">
        <f t="shared" si="8"/>
        <v>0</v>
      </c>
      <c r="P560" s="1" t="s">
        <v>448</v>
      </c>
    </row>
    <row r="561" spans="1:16" ht="69.25" customHeight="1">
      <c r="A561" s="1" t="s">
        <v>9</v>
      </c>
      <c r="B561" s="1" t="s">
        <v>41</v>
      </c>
      <c r="C561" s="1">
        <v>2025</v>
      </c>
      <c r="D561" s="1" t="s">
        <v>43</v>
      </c>
      <c r="E561" s="1" t="s">
        <v>106</v>
      </c>
      <c r="F561" s="1" t="s">
        <v>107</v>
      </c>
      <c r="G561" s="1">
        <v>0</v>
      </c>
      <c r="H561" s="1" t="s">
        <v>434</v>
      </c>
      <c r="I561" s="1" t="s">
        <v>1447</v>
      </c>
      <c r="J561" s="1" t="s">
        <v>1436</v>
      </c>
      <c r="K561" s="1" t="s">
        <v>1448</v>
      </c>
      <c r="L561" s="1" t="s">
        <v>145</v>
      </c>
      <c r="M561" s="1" t="s">
        <v>51</v>
      </c>
      <c r="N561" s="1"/>
      <c r="O561" s="1">
        <f t="shared" si="8"/>
        <v>0</v>
      </c>
      <c r="P561" s="1" t="s">
        <v>454</v>
      </c>
    </row>
    <row r="562" spans="1:16" ht="69.25" customHeight="1">
      <c r="A562" s="1" t="s">
        <v>9</v>
      </c>
      <c r="B562" s="1" t="s">
        <v>44</v>
      </c>
      <c r="C562" s="1">
        <v>2022</v>
      </c>
      <c r="D562" s="1" t="s">
        <v>46</v>
      </c>
      <c r="E562" s="1" t="s">
        <v>70</v>
      </c>
      <c r="F562" s="1" t="s">
        <v>71</v>
      </c>
      <c r="G562" s="1">
        <v>1</v>
      </c>
      <c r="H562" s="1" t="s">
        <v>429</v>
      </c>
      <c r="I562" s="1" t="s">
        <v>1449</v>
      </c>
      <c r="J562" s="1" t="s">
        <v>1450</v>
      </c>
      <c r="K562" s="1" t="s">
        <v>471</v>
      </c>
      <c r="L562" s="1" t="s">
        <v>147</v>
      </c>
      <c r="M562" s="1" t="s">
        <v>51</v>
      </c>
      <c r="N562" s="1"/>
      <c r="O562" s="1">
        <f t="shared" si="8"/>
        <v>1</v>
      </c>
      <c r="P562" s="1" t="s">
        <v>433</v>
      </c>
    </row>
    <row r="563" spans="1:16" ht="69.25" customHeight="1">
      <c r="A563" s="1" t="s">
        <v>9</v>
      </c>
      <c r="B563" s="1" t="s">
        <v>44</v>
      </c>
      <c r="C563" s="1">
        <v>2022</v>
      </c>
      <c r="D563" s="1" t="s">
        <v>46</v>
      </c>
      <c r="E563" s="1" t="s">
        <v>74</v>
      </c>
      <c r="F563" s="1" t="s">
        <v>75</v>
      </c>
      <c r="G563" s="1">
        <v>0</v>
      </c>
      <c r="H563" s="1" t="s">
        <v>434</v>
      </c>
      <c r="I563" s="1" t="s">
        <v>1451</v>
      </c>
      <c r="J563" s="1" t="s">
        <v>1452</v>
      </c>
      <c r="K563" s="1" t="s">
        <v>1269</v>
      </c>
      <c r="L563" s="1" t="s">
        <v>147</v>
      </c>
      <c r="M563" s="1" t="s">
        <v>51</v>
      </c>
      <c r="N563" s="1"/>
      <c r="O563" s="1">
        <f t="shared" si="8"/>
        <v>0</v>
      </c>
      <c r="P563" s="1" t="s">
        <v>437</v>
      </c>
    </row>
    <row r="564" spans="1:16" ht="69.25" customHeight="1">
      <c r="A564" s="1" t="s">
        <v>9</v>
      </c>
      <c r="B564" s="1" t="s">
        <v>44</v>
      </c>
      <c r="C564" s="1">
        <v>2022</v>
      </c>
      <c r="D564" s="1" t="s">
        <v>46</v>
      </c>
      <c r="E564" s="1" t="s">
        <v>78</v>
      </c>
      <c r="F564" s="1" t="s">
        <v>79</v>
      </c>
      <c r="G564" s="1">
        <v>1</v>
      </c>
      <c r="H564" s="1" t="s">
        <v>429</v>
      </c>
      <c r="I564" s="1" t="s">
        <v>1453</v>
      </c>
      <c r="J564" s="1" t="s">
        <v>1452</v>
      </c>
      <c r="K564" s="1" t="s">
        <v>1454</v>
      </c>
      <c r="L564" s="1" t="s">
        <v>147</v>
      </c>
      <c r="M564" s="1" t="s">
        <v>51</v>
      </c>
      <c r="N564" s="1"/>
      <c r="O564" s="1">
        <f t="shared" si="8"/>
        <v>1</v>
      </c>
      <c r="P564" s="1" t="s">
        <v>915</v>
      </c>
    </row>
    <row r="565" spans="1:16" ht="69.25" customHeight="1">
      <c r="A565" s="1" t="s">
        <v>9</v>
      </c>
      <c r="B565" s="1" t="s">
        <v>44</v>
      </c>
      <c r="C565" s="1">
        <v>2022</v>
      </c>
      <c r="D565" s="1" t="s">
        <v>46</v>
      </c>
      <c r="E565" s="1" t="s">
        <v>82</v>
      </c>
      <c r="F565" s="1" t="s">
        <v>83</v>
      </c>
      <c r="G565" s="1">
        <v>1</v>
      </c>
      <c r="H565" s="1" t="s">
        <v>429</v>
      </c>
      <c r="I565" s="1" t="s">
        <v>1455</v>
      </c>
      <c r="J565" s="1" t="s">
        <v>1450</v>
      </c>
      <c r="K565" s="1" t="s">
        <v>1456</v>
      </c>
      <c r="L565" s="1" t="s">
        <v>147</v>
      </c>
      <c r="M565" s="1" t="s">
        <v>51</v>
      </c>
      <c r="N565" s="1"/>
      <c r="O565" s="1">
        <f t="shared" si="8"/>
        <v>1</v>
      </c>
      <c r="P565" s="1" t="s">
        <v>465</v>
      </c>
    </row>
    <row r="566" spans="1:16" ht="69.25" customHeight="1">
      <c r="A566" s="1" t="s">
        <v>9</v>
      </c>
      <c r="B566" s="1" t="s">
        <v>44</v>
      </c>
      <c r="C566" s="1">
        <v>2022</v>
      </c>
      <c r="D566" s="1" t="s">
        <v>46</v>
      </c>
      <c r="E566" s="1" t="s">
        <v>86</v>
      </c>
      <c r="F566" s="1" t="s">
        <v>87</v>
      </c>
      <c r="G566" s="1">
        <v>1</v>
      </c>
      <c r="H566" s="1" t="s">
        <v>429</v>
      </c>
      <c r="I566" s="1" t="s">
        <v>1457</v>
      </c>
      <c r="J566" s="1" t="s">
        <v>1452</v>
      </c>
      <c r="K566" s="1" t="s">
        <v>879</v>
      </c>
      <c r="L566" s="1" t="s">
        <v>147</v>
      </c>
      <c r="M566" s="1" t="s">
        <v>51</v>
      </c>
      <c r="N566" s="1"/>
      <c r="O566" s="1">
        <f t="shared" si="8"/>
        <v>1</v>
      </c>
      <c r="P566" s="1" t="s">
        <v>467</v>
      </c>
    </row>
    <row r="567" spans="1:16" ht="69.25" customHeight="1">
      <c r="A567" s="1" t="s">
        <v>9</v>
      </c>
      <c r="B567" s="1" t="s">
        <v>44</v>
      </c>
      <c r="C567" s="1">
        <v>2022</v>
      </c>
      <c r="D567" s="1" t="s">
        <v>46</v>
      </c>
      <c r="E567" s="1" t="s">
        <v>90</v>
      </c>
      <c r="F567" s="1" t="s">
        <v>91</v>
      </c>
      <c r="G567" s="1">
        <v>0</v>
      </c>
      <c r="H567" s="1" t="s">
        <v>434</v>
      </c>
      <c r="I567" s="1" t="s">
        <v>1458</v>
      </c>
      <c r="J567" s="1" t="s">
        <v>1450</v>
      </c>
      <c r="K567" s="1" t="s">
        <v>1459</v>
      </c>
      <c r="L567" s="1" t="s">
        <v>147</v>
      </c>
      <c r="M567" s="1" t="s">
        <v>51</v>
      </c>
      <c r="N567" s="1"/>
      <c r="O567" s="1">
        <f t="shared" si="8"/>
        <v>0</v>
      </c>
      <c r="P567" s="1" t="s">
        <v>444</v>
      </c>
    </row>
    <row r="568" spans="1:16" ht="69.25" customHeight="1">
      <c r="A568" s="1" t="s">
        <v>9</v>
      </c>
      <c r="B568" s="1" t="s">
        <v>44</v>
      </c>
      <c r="C568" s="1">
        <v>2022</v>
      </c>
      <c r="D568" s="1" t="s">
        <v>46</v>
      </c>
      <c r="E568" s="1" t="s">
        <v>94</v>
      </c>
      <c r="F568" s="1" t="s">
        <v>95</v>
      </c>
      <c r="G568" s="1">
        <v>0</v>
      </c>
      <c r="H568" s="1" t="s">
        <v>445</v>
      </c>
      <c r="I568" s="1" t="s">
        <v>1460</v>
      </c>
      <c r="J568" s="1" t="s">
        <v>1452</v>
      </c>
      <c r="K568" s="1" t="s">
        <v>469</v>
      </c>
      <c r="L568" s="1" t="s">
        <v>147</v>
      </c>
      <c r="M568" s="1" t="s">
        <v>51</v>
      </c>
      <c r="N568" s="1"/>
      <c r="O568" s="1">
        <f t="shared" si="8"/>
        <v>0</v>
      </c>
      <c r="P568" s="1" t="s">
        <v>448</v>
      </c>
    </row>
    <row r="569" spans="1:16" ht="69.25" customHeight="1">
      <c r="A569" s="1" t="s">
        <v>9</v>
      </c>
      <c r="B569" s="1" t="s">
        <v>44</v>
      </c>
      <c r="C569" s="1">
        <v>2022</v>
      </c>
      <c r="D569" s="1" t="s">
        <v>46</v>
      </c>
      <c r="E569" s="1" t="s">
        <v>98</v>
      </c>
      <c r="F569" s="1" t="s">
        <v>99</v>
      </c>
      <c r="G569" s="1">
        <v>0</v>
      </c>
      <c r="H569" s="1" t="s">
        <v>445</v>
      </c>
      <c r="I569" s="1" t="s">
        <v>1461</v>
      </c>
      <c r="J569" s="1" t="s">
        <v>1452</v>
      </c>
      <c r="K569" s="1" t="s">
        <v>1462</v>
      </c>
      <c r="L569" s="1" t="s">
        <v>147</v>
      </c>
      <c r="M569" s="1" t="s">
        <v>51</v>
      </c>
      <c r="N569" s="1"/>
      <c r="O569" s="1">
        <f t="shared" si="8"/>
        <v>0</v>
      </c>
      <c r="P569" s="1" t="s">
        <v>448</v>
      </c>
    </row>
    <row r="570" spans="1:16" ht="69.25" customHeight="1">
      <c r="A570" s="1" t="s">
        <v>9</v>
      </c>
      <c r="B570" s="1" t="s">
        <v>44</v>
      </c>
      <c r="C570" s="1">
        <v>2022</v>
      </c>
      <c r="D570" s="1" t="s">
        <v>46</v>
      </c>
      <c r="E570" s="1" t="s">
        <v>102</v>
      </c>
      <c r="F570" s="1" t="s">
        <v>103</v>
      </c>
      <c r="G570" s="1">
        <v>1</v>
      </c>
      <c r="H570" s="1" t="s">
        <v>429</v>
      </c>
      <c r="I570" s="1" t="s">
        <v>1463</v>
      </c>
      <c r="J570" s="1" t="s">
        <v>1450</v>
      </c>
      <c r="K570" s="1" t="s">
        <v>1459</v>
      </c>
      <c r="L570" s="1" t="s">
        <v>147</v>
      </c>
      <c r="M570" s="1" t="s">
        <v>51</v>
      </c>
      <c r="N570" s="1"/>
      <c r="O570" s="1">
        <f t="shared" si="8"/>
        <v>1</v>
      </c>
      <c r="P570" s="1" t="s">
        <v>475</v>
      </c>
    </row>
    <row r="571" spans="1:16" ht="69.25" customHeight="1">
      <c r="A571" s="1" t="s">
        <v>9</v>
      </c>
      <c r="B571" s="1" t="s">
        <v>44</v>
      </c>
      <c r="C571" s="1">
        <v>2022</v>
      </c>
      <c r="D571" s="1" t="s">
        <v>46</v>
      </c>
      <c r="E571" s="1" t="s">
        <v>106</v>
      </c>
      <c r="F571" s="1" t="s">
        <v>107</v>
      </c>
      <c r="G571" s="1">
        <v>0</v>
      </c>
      <c r="H571" s="1" t="s">
        <v>434</v>
      </c>
      <c r="I571" s="1" t="s">
        <v>1464</v>
      </c>
      <c r="J571" s="1" t="s">
        <v>1452</v>
      </c>
      <c r="K571" s="1" t="s">
        <v>1465</v>
      </c>
      <c r="L571" s="1" t="s">
        <v>147</v>
      </c>
      <c r="M571" s="1" t="s">
        <v>51</v>
      </c>
      <c r="N571" s="1"/>
      <c r="O571" s="1">
        <f t="shared" si="8"/>
        <v>0</v>
      </c>
      <c r="P571" s="1" t="s">
        <v>454</v>
      </c>
    </row>
    <row r="572" spans="1:16" ht="69.25" customHeight="1">
      <c r="A572" s="1" t="s">
        <v>9</v>
      </c>
      <c r="B572" s="1" t="s">
        <v>44</v>
      </c>
      <c r="C572" s="1">
        <v>2023</v>
      </c>
      <c r="D572" s="1" t="s">
        <v>46</v>
      </c>
      <c r="E572" s="1" t="s">
        <v>70</v>
      </c>
      <c r="F572" s="1" t="s">
        <v>71</v>
      </c>
      <c r="G572" s="1">
        <v>1</v>
      </c>
      <c r="H572" s="1" t="s">
        <v>429</v>
      </c>
      <c r="I572" s="1" t="s">
        <v>1466</v>
      </c>
      <c r="J572" s="1" t="s">
        <v>1467</v>
      </c>
      <c r="K572" s="1" t="s">
        <v>1024</v>
      </c>
      <c r="L572" s="1" t="s">
        <v>147</v>
      </c>
      <c r="M572" s="1" t="s">
        <v>51</v>
      </c>
      <c r="N572" s="1"/>
      <c r="O572" s="1">
        <f t="shared" si="8"/>
        <v>1</v>
      </c>
      <c r="P572" s="1" t="s">
        <v>433</v>
      </c>
    </row>
    <row r="573" spans="1:16" ht="69.25" customHeight="1">
      <c r="A573" s="1" t="s">
        <v>9</v>
      </c>
      <c r="B573" s="1" t="s">
        <v>44</v>
      </c>
      <c r="C573" s="1">
        <v>2023</v>
      </c>
      <c r="D573" s="1" t="s">
        <v>46</v>
      </c>
      <c r="E573" s="1" t="s">
        <v>74</v>
      </c>
      <c r="F573" s="1" t="s">
        <v>75</v>
      </c>
      <c r="G573" s="1">
        <v>0</v>
      </c>
      <c r="H573" s="1" t="s">
        <v>434</v>
      </c>
      <c r="I573" s="1" t="s">
        <v>1468</v>
      </c>
      <c r="J573" s="1" t="s">
        <v>1467</v>
      </c>
      <c r="K573" s="1" t="s">
        <v>854</v>
      </c>
      <c r="L573" s="1" t="s">
        <v>147</v>
      </c>
      <c r="M573" s="1" t="s">
        <v>51</v>
      </c>
      <c r="N573" s="1"/>
      <c r="O573" s="1">
        <f t="shared" si="8"/>
        <v>0</v>
      </c>
      <c r="P573" s="1" t="s">
        <v>437</v>
      </c>
    </row>
    <row r="574" spans="1:16" ht="69.25" customHeight="1">
      <c r="A574" s="1" t="s">
        <v>9</v>
      </c>
      <c r="B574" s="1" t="s">
        <v>44</v>
      </c>
      <c r="C574" s="1">
        <v>2023</v>
      </c>
      <c r="D574" s="1" t="s">
        <v>46</v>
      </c>
      <c r="E574" s="1" t="s">
        <v>78</v>
      </c>
      <c r="F574" s="1" t="s">
        <v>79</v>
      </c>
      <c r="G574" s="1">
        <v>1</v>
      </c>
      <c r="H574" s="1" t="s">
        <v>429</v>
      </c>
      <c r="I574" s="1" t="s">
        <v>1469</v>
      </c>
      <c r="J574" s="1" t="s">
        <v>1467</v>
      </c>
      <c r="K574" s="1" t="s">
        <v>1470</v>
      </c>
      <c r="L574" s="1" t="s">
        <v>147</v>
      </c>
      <c r="M574" s="1" t="s">
        <v>51</v>
      </c>
      <c r="N574" s="1"/>
      <c r="O574" s="1">
        <f t="shared" si="8"/>
        <v>1</v>
      </c>
      <c r="P574" s="1" t="s">
        <v>915</v>
      </c>
    </row>
    <row r="575" spans="1:16" ht="69.25" customHeight="1">
      <c r="A575" s="1" t="s">
        <v>9</v>
      </c>
      <c r="B575" s="1" t="s">
        <v>44</v>
      </c>
      <c r="C575" s="1">
        <v>2023</v>
      </c>
      <c r="D575" s="1" t="s">
        <v>46</v>
      </c>
      <c r="E575" s="1" t="s">
        <v>82</v>
      </c>
      <c r="F575" s="1" t="s">
        <v>83</v>
      </c>
      <c r="G575" s="1">
        <v>1</v>
      </c>
      <c r="H575" s="1" t="s">
        <v>429</v>
      </c>
      <c r="I575" s="1" t="s">
        <v>1471</v>
      </c>
      <c r="J575" s="1" t="s">
        <v>1472</v>
      </c>
      <c r="K575" s="1" t="s">
        <v>1304</v>
      </c>
      <c r="L575" s="1" t="s">
        <v>147</v>
      </c>
      <c r="M575" s="1" t="s">
        <v>51</v>
      </c>
      <c r="N575" s="1"/>
      <c r="O575" s="1">
        <f t="shared" si="8"/>
        <v>1</v>
      </c>
      <c r="P575" s="1" t="s">
        <v>465</v>
      </c>
    </row>
    <row r="576" spans="1:16" ht="69.25" customHeight="1">
      <c r="A576" s="1" t="s">
        <v>9</v>
      </c>
      <c r="B576" s="1" t="s">
        <v>44</v>
      </c>
      <c r="C576" s="1">
        <v>2023</v>
      </c>
      <c r="D576" s="1" t="s">
        <v>46</v>
      </c>
      <c r="E576" s="1" t="s">
        <v>86</v>
      </c>
      <c r="F576" s="1" t="s">
        <v>87</v>
      </c>
      <c r="G576" s="1">
        <v>0</v>
      </c>
      <c r="H576" s="1" t="s">
        <v>434</v>
      </c>
      <c r="I576" s="1" t="s">
        <v>440</v>
      </c>
      <c r="J576" s="1" t="s">
        <v>1472</v>
      </c>
      <c r="K576" s="1"/>
      <c r="L576" s="1" t="s">
        <v>147</v>
      </c>
      <c r="M576" s="1" t="s">
        <v>51</v>
      </c>
      <c r="N576" s="1"/>
      <c r="O576" s="1">
        <f t="shared" si="8"/>
        <v>0</v>
      </c>
      <c r="P576" s="1" t="s">
        <v>441</v>
      </c>
    </row>
    <row r="577" spans="1:16" ht="69.25" customHeight="1">
      <c r="A577" s="1" t="s">
        <v>9</v>
      </c>
      <c r="B577" s="1" t="s">
        <v>44</v>
      </c>
      <c r="C577" s="1">
        <v>2023</v>
      </c>
      <c r="D577" s="1" t="s">
        <v>46</v>
      </c>
      <c r="E577" s="1" t="s">
        <v>90</v>
      </c>
      <c r="F577" s="1" t="s">
        <v>91</v>
      </c>
      <c r="G577" s="1">
        <v>1</v>
      </c>
      <c r="H577" s="1" t="s">
        <v>429</v>
      </c>
      <c r="I577" s="1" t="s">
        <v>1471</v>
      </c>
      <c r="J577" s="1" t="s">
        <v>1472</v>
      </c>
      <c r="K577" s="1" t="s">
        <v>1304</v>
      </c>
      <c r="L577" s="1" t="s">
        <v>147</v>
      </c>
      <c r="M577" s="1" t="s">
        <v>51</v>
      </c>
      <c r="N577" s="1"/>
      <c r="O577" s="1">
        <f t="shared" si="8"/>
        <v>1</v>
      </c>
      <c r="P577" s="1" t="s">
        <v>526</v>
      </c>
    </row>
    <row r="578" spans="1:16" ht="69.25" customHeight="1">
      <c r="A578" s="1" t="s">
        <v>9</v>
      </c>
      <c r="B578" s="1" t="s">
        <v>44</v>
      </c>
      <c r="C578" s="1">
        <v>2023</v>
      </c>
      <c r="D578" s="1" t="s">
        <v>46</v>
      </c>
      <c r="E578" s="1" t="s">
        <v>94</v>
      </c>
      <c r="F578" s="1" t="s">
        <v>95</v>
      </c>
      <c r="G578" s="1">
        <v>0</v>
      </c>
      <c r="H578" s="1" t="s">
        <v>445</v>
      </c>
      <c r="I578" s="1" t="s">
        <v>1473</v>
      </c>
      <c r="J578" s="1" t="s">
        <v>1467</v>
      </c>
      <c r="K578" s="1" t="s">
        <v>870</v>
      </c>
      <c r="L578" s="1" t="s">
        <v>147</v>
      </c>
      <c r="M578" s="1" t="s">
        <v>51</v>
      </c>
      <c r="N578" s="1"/>
      <c r="O578" s="1">
        <f t="shared" ref="O578:O641" si="9">IF(N578&lt;&gt;"",N578,G578)</f>
        <v>0</v>
      </c>
      <c r="P578" s="1" t="s">
        <v>448</v>
      </c>
    </row>
    <row r="579" spans="1:16" ht="69.25" customHeight="1">
      <c r="A579" s="1" t="s">
        <v>9</v>
      </c>
      <c r="B579" s="1" t="s">
        <v>44</v>
      </c>
      <c r="C579" s="1">
        <v>2023</v>
      </c>
      <c r="D579" s="1" t="s">
        <v>46</v>
      </c>
      <c r="E579" s="1" t="s">
        <v>98</v>
      </c>
      <c r="F579" s="1" t="s">
        <v>99</v>
      </c>
      <c r="G579" s="1">
        <v>0</v>
      </c>
      <c r="H579" s="1" t="s">
        <v>434</v>
      </c>
      <c r="I579" s="1" t="s">
        <v>1474</v>
      </c>
      <c r="J579" s="1" t="s">
        <v>1467</v>
      </c>
      <c r="K579" s="1" t="s">
        <v>1352</v>
      </c>
      <c r="L579" s="1" t="s">
        <v>147</v>
      </c>
      <c r="M579" s="1" t="s">
        <v>51</v>
      </c>
      <c r="N579" s="1"/>
      <c r="O579" s="1">
        <f t="shared" si="9"/>
        <v>0</v>
      </c>
      <c r="P579" s="1" t="s">
        <v>472</v>
      </c>
    </row>
    <row r="580" spans="1:16" ht="69.25" customHeight="1">
      <c r="A580" s="1" t="s">
        <v>9</v>
      </c>
      <c r="B580" s="1" t="s">
        <v>44</v>
      </c>
      <c r="C580" s="1">
        <v>2023</v>
      </c>
      <c r="D580" s="1" t="s">
        <v>46</v>
      </c>
      <c r="E580" s="1" t="s">
        <v>102</v>
      </c>
      <c r="F580" s="1" t="s">
        <v>103</v>
      </c>
      <c r="G580" s="1">
        <v>0</v>
      </c>
      <c r="H580" s="1" t="s">
        <v>434</v>
      </c>
      <c r="I580" s="1" t="s">
        <v>1468</v>
      </c>
      <c r="J580" s="1" t="s">
        <v>1467</v>
      </c>
      <c r="K580" s="1" t="s">
        <v>854</v>
      </c>
      <c r="L580" s="1" t="s">
        <v>147</v>
      </c>
      <c r="M580" s="1" t="s">
        <v>51</v>
      </c>
      <c r="N580" s="1"/>
      <c r="O580" s="1">
        <f t="shared" si="9"/>
        <v>0</v>
      </c>
      <c r="P580" s="1" t="s">
        <v>452</v>
      </c>
    </row>
    <row r="581" spans="1:16" ht="69.25" customHeight="1">
      <c r="A581" s="1" t="s">
        <v>9</v>
      </c>
      <c r="B581" s="1" t="s">
        <v>44</v>
      </c>
      <c r="C581" s="1">
        <v>2023</v>
      </c>
      <c r="D581" s="1" t="s">
        <v>46</v>
      </c>
      <c r="E581" s="1" t="s">
        <v>106</v>
      </c>
      <c r="F581" s="1" t="s">
        <v>107</v>
      </c>
      <c r="G581" s="1">
        <v>0</v>
      </c>
      <c r="H581" s="1" t="s">
        <v>445</v>
      </c>
      <c r="I581" s="1" t="s">
        <v>1475</v>
      </c>
      <c r="J581" s="1" t="s">
        <v>1472</v>
      </c>
      <c r="K581" s="1" t="s">
        <v>563</v>
      </c>
      <c r="L581" s="1" t="s">
        <v>147</v>
      </c>
      <c r="M581" s="1" t="s">
        <v>51</v>
      </c>
      <c r="N581" s="1"/>
      <c r="O581" s="1">
        <f t="shared" si="9"/>
        <v>0</v>
      </c>
      <c r="P581" s="1" t="s">
        <v>448</v>
      </c>
    </row>
    <row r="582" spans="1:16" ht="69.25" customHeight="1">
      <c r="A582" s="1" t="s">
        <v>9</v>
      </c>
      <c r="B582" s="1" t="s">
        <v>44</v>
      </c>
      <c r="C582" s="1">
        <v>2024</v>
      </c>
      <c r="D582" s="1" t="s">
        <v>46</v>
      </c>
      <c r="E582" s="1" t="s">
        <v>70</v>
      </c>
      <c r="F582" s="1" t="s">
        <v>71</v>
      </c>
      <c r="G582" s="1">
        <v>1</v>
      </c>
      <c r="H582" s="1" t="s">
        <v>429</v>
      </c>
      <c r="I582" s="1" t="s">
        <v>1476</v>
      </c>
      <c r="J582" s="1" t="s">
        <v>1477</v>
      </c>
      <c r="K582" s="1" t="s">
        <v>849</v>
      </c>
      <c r="L582" s="1" t="s">
        <v>147</v>
      </c>
      <c r="M582" s="1" t="s">
        <v>51</v>
      </c>
      <c r="N582" s="1"/>
      <c r="O582" s="1">
        <f t="shared" si="9"/>
        <v>1</v>
      </c>
      <c r="P582" s="1" t="s">
        <v>433</v>
      </c>
    </row>
    <row r="583" spans="1:16" ht="69.25" customHeight="1">
      <c r="A583" s="1" t="s">
        <v>9</v>
      </c>
      <c r="B583" s="1" t="s">
        <v>44</v>
      </c>
      <c r="C583" s="1">
        <v>2024</v>
      </c>
      <c r="D583" s="1" t="s">
        <v>46</v>
      </c>
      <c r="E583" s="1" t="s">
        <v>74</v>
      </c>
      <c r="F583" s="1" t="s">
        <v>75</v>
      </c>
      <c r="G583" s="1">
        <v>0</v>
      </c>
      <c r="H583" s="1" t="s">
        <v>434</v>
      </c>
      <c r="I583" s="1" t="s">
        <v>1478</v>
      </c>
      <c r="J583" s="1" t="s">
        <v>1479</v>
      </c>
      <c r="K583" s="1" t="s">
        <v>852</v>
      </c>
      <c r="L583" s="1" t="s">
        <v>147</v>
      </c>
      <c r="M583" s="1" t="s">
        <v>51</v>
      </c>
      <c r="N583" s="1"/>
      <c r="O583" s="1">
        <f t="shared" si="9"/>
        <v>0</v>
      </c>
      <c r="P583" s="1" t="s">
        <v>437</v>
      </c>
    </row>
    <row r="584" spans="1:16" ht="69.25" customHeight="1">
      <c r="A584" s="1" t="s">
        <v>9</v>
      </c>
      <c r="B584" s="1" t="s">
        <v>44</v>
      </c>
      <c r="C584" s="1">
        <v>2024</v>
      </c>
      <c r="D584" s="1" t="s">
        <v>46</v>
      </c>
      <c r="E584" s="1" t="s">
        <v>78</v>
      </c>
      <c r="F584" s="1" t="s">
        <v>79</v>
      </c>
      <c r="G584" s="1">
        <v>1</v>
      </c>
      <c r="H584" s="1" t="s">
        <v>429</v>
      </c>
      <c r="I584" s="1" t="s">
        <v>1480</v>
      </c>
      <c r="J584" s="1" t="s">
        <v>1477</v>
      </c>
      <c r="K584" s="1" t="s">
        <v>1178</v>
      </c>
      <c r="L584" s="1" t="s">
        <v>147</v>
      </c>
      <c r="M584" s="1" t="s">
        <v>51</v>
      </c>
      <c r="N584" s="1"/>
      <c r="O584" s="1">
        <f t="shared" si="9"/>
        <v>1</v>
      </c>
      <c r="P584" s="1" t="s">
        <v>915</v>
      </c>
    </row>
    <row r="585" spans="1:16" ht="69.25" customHeight="1">
      <c r="A585" s="1" t="s">
        <v>9</v>
      </c>
      <c r="B585" s="1" t="s">
        <v>44</v>
      </c>
      <c r="C585" s="1">
        <v>2024</v>
      </c>
      <c r="D585" s="1" t="s">
        <v>46</v>
      </c>
      <c r="E585" s="1" t="s">
        <v>82</v>
      </c>
      <c r="F585" s="1" t="s">
        <v>83</v>
      </c>
      <c r="G585" s="1">
        <v>0</v>
      </c>
      <c r="H585" s="1" t="s">
        <v>445</v>
      </c>
      <c r="I585" s="1" t="s">
        <v>1481</v>
      </c>
      <c r="J585" s="1" t="s">
        <v>1479</v>
      </c>
      <c r="K585" s="1" t="s">
        <v>1482</v>
      </c>
      <c r="L585" s="1" t="s">
        <v>147</v>
      </c>
      <c r="M585" s="1" t="s">
        <v>51</v>
      </c>
      <c r="N585" s="1"/>
      <c r="O585" s="1">
        <f t="shared" si="9"/>
        <v>0</v>
      </c>
      <c r="P585" s="1" t="s">
        <v>448</v>
      </c>
    </row>
    <row r="586" spans="1:16" ht="69.25" customHeight="1">
      <c r="A586" s="1" t="s">
        <v>9</v>
      </c>
      <c r="B586" s="1" t="s">
        <v>44</v>
      </c>
      <c r="C586" s="1">
        <v>2024</v>
      </c>
      <c r="D586" s="1" t="s">
        <v>46</v>
      </c>
      <c r="E586" s="1" t="s">
        <v>86</v>
      </c>
      <c r="F586" s="1" t="s">
        <v>87</v>
      </c>
      <c r="G586" s="1">
        <v>1</v>
      </c>
      <c r="H586" s="1" t="s">
        <v>429</v>
      </c>
      <c r="I586" s="1" t="s">
        <v>1483</v>
      </c>
      <c r="J586" s="1" t="s">
        <v>1479</v>
      </c>
      <c r="K586" s="1" t="s">
        <v>1482</v>
      </c>
      <c r="L586" s="1" t="s">
        <v>147</v>
      </c>
      <c r="M586" s="1" t="s">
        <v>51</v>
      </c>
      <c r="N586" s="1"/>
      <c r="O586" s="1">
        <f t="shared" si="9"/>
        <v>1</v>
      </c>
      <c r="P586" s="1" t="s">
        <v>467</v>
      </c>
    </row>
    <row r="587" spans="1:16" ht="69.25" customHeight="1">
      <c r="A587" s="1" t="s">
        <v>9</v>
      </c>
      <c r="B587" s="1" t="s">
        <v>44</v>
      </c>
      <c r="C587" s="1">
        <v>2024</v>
      </c>
      <c r="D587" s="1" t="s">
        <v>46</v>
      </c>
      <c r="E587" s="1" t="s">
        <v>90</v>
      </c>
      <c r="F587" s="1" t="s">
        <v>91</v>
      </c>
      <c r="G587" s="1">
        <v>1</v>
      </c>
      <c r="H587" s="1" t="s">
        <v>429</v>
      </c>
      <c r="I587" s="1" t="s">
        <v>1481</v>
      </c>
      <c r="J587" s="1" t="s">
        <v>1479</v>
      </c>
      <c r="K587" s="1" t="s">
        <v>1482</v>
      </c>
      <c r="L587" s="1" t="s">
        <v>147</v>
      </c>
      <c r="M587" s="1" t="s">
        <v>51</v>
      </c>
      <c r="N587" s="1"/>
      <c r="O587" s="1">
        <f t="shared" si="9"/>
        <v>1</v>
      </c>
      <c r="P587" s="1" t="s">
        <v>526</v>
      </c>
    </row>
    <row r="588" spans="1:16" ht="69.25" customHeight="1">
      <c r="A588" s="1" t="s">
        <v>9</v>
      </c>
      <c r="B588" s="1" t="s">
        <v>44</v>
      </c>
      <c r="C588" s="1">
        <v>2024</v>
      </c>
      <c r="D588" s="1" t="s">
        <v>46</v>
      </c>
      <c r="E588" s="1" t="s">
        <v>94</v>
      </c>
      <c r="F588" s="1" t="s">
        <v>95</v>
      </c>
      <c r="G588" s="1">
        <v>0</v>
      </c>
      <c r="H588" s="1" t="s">
        <v>445</v>
      </c>
      <c r="I588" s="1" t="s">
        <v>1484</v>
      </c>
      <c r="J588" s="1" t="s">
        <v>1477</v>
      </c>
      <c r="K588" s="1" t="s">
        <v>1221</v>
      </c>
      <c r="L588" s="1" t="s">
        <v>147</v>
      </c>
      <c r="M588" s="1" t="s">
        <v>51</v>
      </c>
      <c r="N588" s="1"/>
      <c r="O588" s="1">
        <f t="shared" si="9"/>
        <v>0</v>
      </c>
      <c r="P588" s="1" t="s">
        <v>448</v>
      </c>
    </row>
    <row r="589" spans="1:16" ht="69.25" customHeight="1">
      <c r="A589" s="1" t="s">
        <v>9</v>
      </c>
      <c r="B589" s="1" t="s">
        <v>44</v>
      </c>
      <c r="C589" s="1">
        <v>2024</v>
      </c>
      <c r="D589" s="1" t="s">
        <v>46</v>
      </c>
      <c r="E589" s="1" t="s">
        <v>98</v>
      </c>
      <c r="F589" s="1" t="s">
        <v>99</v>
      </c>
      <c r="G589" s="1">
        <v>0</v>
      </c>
      <c r="H589" s="1" t="s">
        <v>434</v>
      </c>
      <c r="I589" s="1" t="s">
        <v>1485</v>
      </c>
      <c r="J589" s="1" t="s">
        <v>1477</v>
      </c>
      <c r="K589" s="1" t="s">
        <v>1393</v>
      </c>
      <c r="L589" s="1" t="s">
        <v>147</v>
      </c>
      <c r="M589" s="1" t="s">
        <v>51</v>
      </c>
      <c r="N589" s="1"/>
      <c r="O589" s="1">
        <f t="shared" si="9"/>
        <v>0</v>
      </c>
      <c r="P589" s="1" t="s">
        <v>472</v>
      </c>
    </row>
    <row r="590" spans="1:16" ht="69.25" customHeight="1">
      <c r="A590" s="1" t="s">
        <v>9</v>
      </c>
      <c r="B590" s="1" t="s">
        <v>44</v>
      </c>
      <c r="C590" s="1">
        <v>2024</v>
      </c>
      <c r="D590" s="1" t="s">
        <v>46</v>
      </c>
      <c r="E590" s="1" t="s">
        <v>102</v>
      </c>
      <c r="F590" s="1" t="s">
        <v>103</v>
      </c>
      <c r="G590" s="1">
        <v>1</v>
      </c>
      <c r="H590" s="1" t="s">
        <v>429</v>
      </c>
      <c r="I590" s="1" t="s">
        <v>1486</v>
      </c>
      <c r="J590" s="1" t="s">
        <v>1479</v>
      </c>
      <c r="K590" s="1" t="s">
        <v>852</v>
      </c>
      <c r="L590" s="1" t="s">
        <v>147</v>
      </c>
      <c r="M590" s="1" t="s">
        <v>51</v>
      </c>
      <c r="N590" s="1"/>
      <c r="O590" s="1">
        <f t="shared" si="9"/>
        <v>1</v>
      </c>
      <c r="P590" s="1" t="s">
        <v>475</v>
      </c>
    </row>
    <row r="591" spans="1:16" ht="69.25" customHeight="1">
      <c r="A591" s="1" t="s">
        <v>9</v>
      </c>
      <c r="B591" s="1" t="s">
        <v>44</v>
      </c>
      <c r="C591" s="1">
        <v>2024</v>
      </c>
      <c r="D591" s="1" t="s">
        <v>46</v>
      </c>
      <c r="E591" s="1" t="s">
        <v>106</v>
      </c>
      <c r="F591" s="1" t="s">
        <v>107</v>
      </c>
      <c r="G591" s="1">
        <v>0</v>
      </c>
      <c r="H591" s="1" t="s">
        <v>445</v>
      </c>
      <c r="I591" s="1" t="s">
        <v>1487</v>
      </c>
      <c r="J591" s="1" t="s">
        <v>1479</v>
      </c>
      <c r="K591" s="1" t="s">
        <v>1350</v>
      </c>
      <c r="L591" s="1" t="s">
        <v>147</v>
      </c>
      <c r="M591" s="1" t="s">
        <v>51</v>
      </c>
      <c r="N591" s="1"/>
      <c r="O591" s="1">
        <f t="shared" si="9"/>
        <v>0</v>
      </c>
      <c r="P591" s="1" t="s">
        <v>448</v>
      </c>
    </row>
    <row r="592" spans="1:16" ht="69.25" customHeight="1">
      <c r="A592" s="1" t="s">
        <v>9</v>
      </c>
      <c r="B592" s="1" t="s">
        <v>44</v>
      </c>
      <c r="C592" s="1">
        <v>2025</v>
      </c>
      <c r="D592" s="1" t="s">
        <v>46</v>
      </c>
      <c r="E592" s="1" t="s">
        <v>70</v>
      </c>
      <c r="F592" s="1" t="s">
        <v>71</v>
      </c>
      <c r="G592" s="1">
        <v>1</v>
      </c>
      <c r="H592" s="1" t="s">
        <v>429</v>
      </c>
      <c r="I592" s="1" t="s">
        <v>1488</v>
      </c>
      <c r="J592" s="1" t="s">
        <v>1489</v>
      </c>
      <c r="K592" s="1" t="s">
        <v>788</v>
      </c>
      <c r="L592" s="1" t="s">
        <v>147</v>
      </c>
      <c r="M592" s="1" t="s">
        <v>51</v>
      </c>
      <c r="N592" s="1"/>
      <c r="O592" s="1">
        <f t="shared" si="9"/>
        <v>1</v>
      </c>
      <c r="P592" s="1" t="s">
        <v>433</v>
      </c>
    </row>
    <row r="593" spans="1:16" ht="69.25" customHeight="1">
      <c r="A593" s="1" t="s">
        <v>9</v>
      </c>
      <c r="B593" s="1" t="s">
        <v>44</v>
      </c>
      <c r="C593" s="1">
        <v>2025</v>
      </c>
      <c r="D593" s="1" t="s">
        <v>46</v>
      </c>
      <c r="E593" s="1" t="s">
        <v>74</v>
      </c>
      <c r="F593" s="1" t="s">
        <v>75</v>
      </c>
      <c r="G593" s="1">
        <v>0</v>
      </c>
      <c r="H593" s="1" t="s">
        <v>434</v>
      </c>
      <c r="I593" s="1" t="s">
        <v>1490</v>
      </c>
      <c r="J593" s="1" t="s">
        <v>1489</v>
      </c>
      <c r="K593" s="1" t="s">
        <v>530</v>
      </c>
      <c r="L593" s="1" t="s">
        <v>147</v>
      </c>
      <c r="M593" s="1" t="s">
        <v>51</v>
      </c>
      <c r="N593" s="1"/>
      <c r="O593" s="1">
        <f t="shared" si="9"/>
        <v>0</v>
      </c>
      <c r="P593" s="1" t="s">
        <v>437</v>
      </c>
    </row>
    <row r="594" spans="1:16" ht="69.25" customHeight="1">
      <c r="A594" s="1" t="s">
        <v>9</v>
      </c>
      <c r="B594" s="1" t="s">
        <v>44</v>
      </c>
      <c r="C594" s="1">
        <v>2025</v>
      </c>
      <c r="D594" s="1" t="s">
        <v>46</v>
      </c>
      <c r="E594" s="1" t="s">
        <v>78</v>
      </c>
      <c r="F594" s="1" t="s">
        <v>79</v>
      </c>
      <c r="G594" s="1">
        <v>1</v>
      </c>
      <c r="H594" s="1" t="s">
        <v>429</v>
      </c>
      <c r="I594" s="1" t="s">
        <v>1491</v>
      </c>
      <c r="J594" s="1" t="s">
        <v>1489</v>
      </c>
      <c r="K594" s="1" t="s">
        <v>767</v>
      </c>
      <c r="L594" s="1" t="s">
        <v>147</v>
      </c>
      <c r="M594" s="1" t="s">
        <v>51</v>
      </c>
      <c r="N594" s="1"/>
      <c r="O594" s="1">
        <f t="shared" si="9"/>
        <v>1</v>
      </c>
      <c r="P594" s="1" t="s">
        <v>915</v>
      </c>
    </row>
    <row r="595" spans="1:16" ht="69.25" customHeight="1">
      <c r="A595" s="1" t="s">
        <v>9</v>
      </c>
      <c r="B595" s="1" t="s">
        <v>44</v>
      </c>
      <c r="C595" s="1">
        <v>2025</v>
      </c>
      <c r="D595" s="1" t="s">
        <v>46</v>
      </c>
      <c r="E595" s="1" t="s">
        <v>82</v>
      </c>
      <c r="F595" s="1" t="s">
        <v>83</v>
      </c>
      <c r="G595" s="1">
        <v>0</v>
      </c>
      <c r="H595" s="1" t="s">
        <v>434</v>
      </c>
      <c r="I595" s="1" t="s">
        <v>440</v>
      </c>
      <c r="J595" s="1" t="s">
        <v>1489</v>
      </c>
      <c r="K595" s="1"/>
      <c r="L595" s="1" t="s">
        <v>147</v>
      </c>
      <c r="M595" s="1" t="s">
        <v>51</v>
      </c>
      <c r="N595" s="1"/>
      <c r="O595" s="1">
        <f t="shared" si="9"/>
        <v>0</v>
      </c>
      <c r="P595" s="1" t="s">
        <v>441</v>
      </c>
    </row>
    <row r="596" spans="1:16" ht="69.25" customHeight="1">
      <c r="A596" s="1" t="s">
        <v>9</v>
      </c>
      <c r="B596" s="1" t="s">
        <v>44</v>
      </c>
      <c r="C596" s="1">
        <v>2025</v>
      </c>
      <c r="D596" s="1" t="s">
        <v>46</v>
      </c>
      <c r="E596" s="1" t="s">
        <v>86</v>
      </c>
      <c r="F596" s="1" t="s">
        <v>87</v>
      </c>
      <c r="G596" s="1">
        <v>0</v>
      </c>
      <c r="H596" s="1" t="s">
        <v>434</v>
      </c>
      <c r="I596" s="1" t="s">
        <v>440</v>
      </c>
      <c r="J596" s="1" t="s">
        <v>1489</v>
      </c>
      <c r="K596" s="1"/>
      <c r="L596" s="1" t="s">
        <v>147</v>
      </c>
      <c r="M596" s="1" t="s">
        <v>51</v>
      </c>
      <c r="N596" s="1"/>
      <c r="O596" s="1">
        <f t="shared" si="9"/>
        <v>0</v>
      </c>
      <c r="P596" s="1" t="s">
        <v>441</v>
      </c>
    </row>
    <row r="597" spans="1:16" ht="69.25" customHeight="1">
      <c r="A597" s="1" t="s">
        <v>9</v>
      </c>
      <c r="B597" s="1" t="s">
        <v>44</v>
      </c>
      <c r="C597" s="1">
        <v>2025</v>
      </c>
      <c r="D597" s="1" t="s">
        <v>46</v>
      </c>
      <c r="E597" s="1" t="s">
        <v>90</v>
      </c>
      <c r="F597" s="1" t="s">
        <v>91</v>
      </c>
      <c r="G597" s="1">
        <v>0</v>
      </c>
      <c r="H597" s="1" t="s">
        <v>434</v>
      </c>
      <c r="I597" s="1" t="s">
        <v>1492</v>
      </c>
      <c r="J597" s="1" t="s">
        <v>1489</v>
      </c>
      <c r="K597" s="1" t="s">
        <v>1493</v>
      </c>
      <c r="L597" s="1" t="s">
        <v>147</v>
      </c>
      <c r="M597" s="1" t="s">
        <v>51</v>
      </c>
      <c r="N597" s="1"/>
      <c r="O597" s="1">
        <f t="shared" si="9"/>
        <v>0</v>
      </c>
      <c r="P597" s="1" t="s">
        <v>444</v>
      </c>
    </row>
    <row r="598" spans="1:16" ht="69.25" customHeight="1">
      <c r="A598" s="1" t="s">
        <v>9</v>
      </c>
      <c r="B598" s="1" t="s">
        <v>44</v>
      </c>
      <c r="C598" s="1">
        <v>2025</v>
      </c>
      <c r="D598" s="1" t="s">
        <v>46</v>
      </c>
      <c r="E598" s="1" t="s">
        <v>94</v>
      </c>
      <c r="F598" s="1" t="s">
        <v>95</v>
      </c>
      <c r="G598" s="1">
        <v>0</v>
      </c>
      <c r="H598" s="1" t="s">
        <v>445</v>
      </c>
      <c r="I598" s="1" t="s">
        <v>1494</v>
      </c>
      <c r="J598" s="1" t="s">
        <v>1489</v>
      </c>
      <c r="K598" s="1" t="s">
        <v>769</v>
      </c>
      <c r="L598" s="1" t="s">
        <v>147</v>
      </c>
      <c r="M598" s="1" t="s">
        <v>51</v>
      </c>
      <c r="N598" s="1"/>
      <c r="O598" s="1">
        <f t="shared" si="9"/>
        <v>0</v>
      </c>
      <c r="P598" s="1" t="s">
        <v>448</v>
      </c>
    </row>
    <row r="599" spans="1:16" ht="69.25" customHeight="1">
      <c r="A599" s="1" t="s">
        <v>9</v>
      </c>
      <c r="B599" s="1" t="s">
        <v>44</v>
      </c>
      <c r="C599" s="1">
        <v>2025</v>
      </c>
      <c r="D599" s="1" t="s">
        <v>46</v>
      </c>
      <c r="E599" s="1" t="s">
        <v>98</v>
      </c>
      <c r="F599" s="1" t="s">
        <v>99</v>
      </c>
      <c r="G599" s="1">
        <v>0</v>
      </c>
      <c r="H599" s="1" t="s">
        <v>445</v>
      </c>
      <c r="I599" s="1" t="s">
        <v>1495</v>
      </c>
      <c r="J599" s="1" t="s">
        <v>1489</v>
      </c>
      <c r="K599" s="1" t="s">
        <v>879</v>
      </c>
      <c r="L599" s="1" t="s">
        <v>147</v>
      </c>
      <c r="M599" s="1" t="s">
        <v>51</v>
      </c>
      <c r="N599" s="1"/>
      <c r="O599" s="1">
        <f t="shared" si="9"/>
        <v>0</v>
      </c>
      <c r="P599" s="1" t="s">
        <v>448</v>
      </c>
    </row>
    <row r="600" spans="1:16" ht="69.25" customHeight="1">
      <c r="A600" s="1" t="s">
        <v>9</v>
      </c>
      <c r="B600" s="1" t="s">
        <v>44</v>
      </c>
      <c r="C600" s="1">
        <v>2025</v>
      </c>
      <c r="D600" s="1" t="s">
        <v>46</v>
      </c>
      <c r="E600" s="1" t="s">
        <v>102</v>
      </c>
      <c r="F600" s="1" t="s">
        <v>103</v>
      </c>
      <c r="G600" s="1">
        <v>0</v>
      </c>
      <c r="H600" s="1" t="s">
        <v>434</v>
      </c>
      <c r="I600" s="1" t="s">
        <v>1490</v>
      </c>
      <c r="J600" s="1" t="s">
        <v>1489</v>
      </c>
      <c r="K600" s="1" t="s">
        <v>530</v>
      </c>
      <c r="L600" s="1" t="s">
        <v>147</v>
      </c>
      <c r="M600" s="1" t="s">
        <v>51</v>
      </c>
      <c r="N600" s="1"/>
      <c r="O600" s="1">
        <f t="shared" si="9"/>
        <v>0</v>
      </c>
      <c r="P600" s="1" t="s">
        <v>452</v>
      </c>
    </row>
    <row r="601" spans="1:16" ht="69.25" customHeight="1">
      <c r="A601" s="1" t="s">
        <v>9</v>
      </c>
      <c r="B601" s="1" t="s">
        <v>44</v>
      </c>
      <c r="C601" s="1">
        <v>2025</v>
      </c>
      <c r="D601" s="1" t="s">
        <v>46</v>
      </c>
      <c r="E601" s="1" t="s">
        <v>106</v>
      </c>
      <c r="F601" s="1" t="s">
        <v>107</v>
      </c>
      <c r="G601" s="1">
        <v>0</v>
      </c>
      <c r="H601" s="1" t="s">
        <v>434</v>
      </c>
      <c r="I601" s="1" t="s">
        <v>1496</v>
      </c>
      <c r="J601" s="1" t="s">
        <v>1489</v>
      </c>
      <c r="K601" s="1" t="s">
        <v>1282</v>
      </c>
      <c r="L601" s="1" t="s">
        <v>147</v>
      </c>
      <c r="M601" s="1" t="s">
        <v>51</v>
      </c>
      <c r="N601" s="1"/>
      <c r="O601" s="1">
        <f t="shared" si="9"/>
        <v>0</v>
      </c>
      <c r="P601" s="1" t="s">
        <v>454</v>
      </c>
    </row>
    <row r="602" spans="1:16" ht="69.25" customHeight="1">
      <c r="A602" s="1" t="s">
        <v>50</v>
      </c>
      <c r="B602" s="1" t="s">
        <v>47</v>
      </c>
      <c r="C602" s="1">
        <v>2022</v>
      </c>
      <c r="D602" s="1" t="s">
        <v>18</v>
      </c>
      <c r="E602" s="1" t="s">
        <v>70</v>
      </c>
      <c r="F602" s="1" t="s">
        <v>71</v>
      </c>
      <c r="G602" s="1">
        <v>0</v>
      </c>
      <c r="H602" s="1" t="s">
        <v>445</v>
      </c>
      <c r="I602" s="1" t="s">
        <v>1497</v>
      </c>
      <c r="J602" s="1" t="s">
        <v>1498</v>
      </c>
      <c r="K602" s="1" t="s">
        <v>990</v>
      </c>
      <c r="L602" s="1" t="s">
        <v>149</v>
      </c>
      <c r="M602" s="1" t="s">
        <v>51</v>
      </c>
      <c r="N602" s="1"/>
      <c r="O602" s="1">
        <f t="shared" si="9"/>
        <v>0</v>
      </c>
      <c r="P602" s="1" t="s">
        <v>448</v>
      </c>
    </row>
    <row r="603" spans="1:16" ht="69.25" customHeight="1">
      <c r="A603" s="1" t="s">
        <v>50</v>
      </c>
      <c r="B603" s="1" t="s">
        <v>47</v>
      </c>
      <c r="C603" s="1">
        <v>2022</v>
      </c>
      <c r="D603" s="1" t="s">
        <v>18</v>
      </c>
      <c r="E603" s="1" t="s">
        <v>74</v>
      </c>
      <c r="F603" s="1" t="s">
        <v>75</v>
      </c>
      <c r="G603" s="1">
        <v>1</v>
      </c>
      <c r="H603" s="1" t="s">
        <v>429</v>
      </c>
      <c r="I603" s="1" t="s">
        <v>1499</v>
      </c>
      <c r="J603" s="1" t="s">
        <v>1498</v>
      </c>
      <c r="K603" s="1" t="s">
        <v>639</v>
      </c>
      <c r="L603" s="1" t="s">
        <v>149</v>
      </c>
      <c r="M603" s="1" t="s">
        <v>51</v>
      </c>
      <c r="N603" s="1"/>
      <c r="O603" s="1">
        <f t="shared" si="9"/>
        <v>1</v>
      </c>
      <c r="P603" s="1" t="s">
        <v>460</v>
      </c>
    </row>
    <row r="604" spans="1:16" ht="69.25" customHeight="1">
      <c r="A604" s="1" t="s">
        <v>50</v>
      </c>
      <c r="B604" s="1" t="s">
        <v>47</v>
      </c>
      <c r="C604" s="1">
        <v>2022</v>
      </c>
      <c r="D604" s="1" t="s">
        <v>18</v>
      </c>
      <c r="E604" s="1" t="s">
        <v>78</v>
      </c>
      <c r="F604" s="1" t="s">
        <v>79</v>
      </c>
      <c r="G604" s="1">
        <v>0</v>
      </c>
      <c r="H604" s="1" t="s">
        <v>434</v>
      </c>
      <c r="I604" s="1" t="s">
        <v>1500</v>
      </c>
      <c r="J604" s="1" t="s">
        <v>1498</v>
      </c>
      <c r="K604" s="1" t="s">
        <v>852</v>
      </c>
      <c r="L604" s="1" t="s">
        <v>149</v>
      </c>
      <c r="M604" s="1" t="s">
        <v>51</v>
      </c>
      <c r="N604" s="1"/>
      <c r="O604" s="1">
        <f t="shared" si="9"/>
        <v>0</v>
      </c>
      <c r="P604" s="1" t="s">
        <v>439</v>
      </c>
    </row>
    <row r="605" spans="1:16" ht="69.25" customHeight="1">
      <c r="A605" s="1" t="s">
        <v>50</v>
      </c>
      <c r="B605" s="1" t="s">
        <v>47</v>
      </c>
      <c r="C605" s="1">
        <v>2022</v>
      </c>
      <c r="D605" s="1" t="s">
        <v>18</v>
      </c>
      <c r="E605" s="1" t="s">
        <v>82</v>
      </c>
      <c r="F605" s="1" t="s">
        <v>83</v>
      </c>
      <c r="G605" s="1">
        <v>1</v>
      </c>
      <c r="H605" s="1" t="s">
        <v>429</v>
      </c>
      <c r="I605" s="1" t="s">
        <v>1501</v>
      </c>
      <c r="J605" s="1" t="s">
        <v>1498</v>
      </c>
      <c r="K605" s="1" t="s">
        <v>606</v>
      </c>
      <c r="L605" s="1" t="s">
        <v>149</v>
      </c>
      <c r="M605" s="1" t="s">
        <v>51</v>
      </c>
      <c r="N605" s="1"/>
      <c r="O605" s="1">
        <f t="shared" si="9"/>
        <v>1</v>
      </c>
      <c r="P605" s="1" t="s">
        <v>465</v>
      </c>
    </row>
    <row r="606" spans="1:16" ht="69.25" customHeight="1">
      <c r="A606" s="1" t="s">
        <v>50</v>
      </c>
      <c r="B606" s="1" t="s">
        <v>47</v>
      </c>
      <c r="C606" s="1">
        <v>2022</v>
      </c>
      <c r="D606" s="1" t="s">
        <v>18</v>
      </c>
      <c r="E606" s="1" t="s">
        <v>86</v>
      </c>
      <c r="F606" s="1" t="s">
        <v>87</v>
      </c>
      <c r="G606" s="1">
        <v>1</v>
      </c>
      <c r="H606" s="1" t="s">
        <v>429</v>
      </c>
      <c r="I606" s="1" t="s">
        <v>1502</v>
      </c>
      <c r="J606" s="1" t="s">
        <v>1498</v>
      </c>
      <c r="K606" s="1" t="s">
        <v>797</v>
      </c>
      <c r="L606" s="1" t="s">
        <v>149</v>
      </c>
      <c r="M606" s="1" t="s">
        <v>51</v>
      </c>
      <c r="N606" s="1"/>
      <c r="O606" s="1">
        <f t="shared" si="9"/>
        <v>1</v>
      </c>
      <c r="P606" s="1" t="s">
        <v>467</v>
      </c>
    </row>
    <row r="607" spans="1:16" ht="69.25" customHeight="1">
      <c r="A607" s="1" t="s">
        <v>50</v>
      </c>
      <c r="B607" s="1" t="s">
        <v>47</v>
      </c>
      <c r="C607" s="1">
        <v>2022</v>
      </c>
      <c r="D607" s="1" t="s">
        <v>18</v>
      </c>
      <c r="E607" s="1" t="s">
        <v>90</v>
      </c>
      <c r="F607" s="1" t="s">
        <v>91</v>
      </c>
      <c r="G607" s="1">
        <v>1</v>
      </c>
      <c r="H607" s="1" t="s">
        <v>429</v>
      </c>
      <c r="I607" s="1" t="s">
        <v>1501</v>
      </c>
      <c r="J607" s="1" t="s">
        <v>1498</v>
      </c>
      <c r="K607" s="1" t="s">
        <v>606</v>
      </c>
      <c r="L607" s="1" t="s">
        <v>149</v>
      </c>
      <c r="M607" s="1" t="s">
        <v>51</v>
      </c>
      <c r="N607" s="1"/>
      <c r="O607" s="1">
        <f t="shared" si="9"/>
        <v>1</v>
      </c>
      <c r="P607" s="1" t="s">
        <v>526</v>
      </c>
    </row>
    <row r="608" spans="1:16" ht="69.25" customHeight="1">
      <c r="A608" s="1" t="s">
        <v>50</v>
      </c>
      <c r="B608" s="1" t="s">
        <v>47</v>
      </c>
      <c r="C608" s="1">
        <v>2022</v>
      </c>
      <c r="D608" s="1" t="s">
        <v>18</v>
      </c>
      <c r="E608" s="1" t="s">
        <v>94</v>
      </c>
      <c r="F608" s="1" t="s">
        <v>95</v>
      </c>
      <c r="G608" s="1">
        <v>1</v>
      </c>
      <c r="H608" s="1" t="s">
        <v>429</v>
      </c>
      <c r="I608" s="1" t="s">
        <v>1503</v>
      </c>
      <c r="J608" s="1" t="s">
        <v>1498</v>
      </c>
      <c r="K608" s="1" t="s">
        <v>1504</v>
      </c>
      <c r="L608" s="1" t="s">
        <v>149</v>
      </c>
      <c r="M608" s="1" t="s">
        <v>51</v>
      </c>
      <c r="N608" s="1"/>
      <c r="O608" s="1">
        <f t="shared" si="9"/>
        <v>1</v>
      </c>
      <c r="P608" s="1" t="s">
        <v>643</v>
      </c>
    </row>
    <row r="609" spans="1:16" ht="69.25" customHeight="1">
      <c r="A609" s="1" t="s">
        <v>50</v>
      </c>
      <c r="B609" s="1" t="s">
        <v>47</v>
      </c>
      <c r="C609" s="1">
        <v>2022</v>
      </c>
      <c r="D609" s="1" t="s">
        <v>18</v>
      </c>
      <c r="E609" s="1" t="s">
        <v>98</v>
      </c>
      <c r="F609" s="1" t="s">
        <v>99</v>
      </c>
      <c r="G609" s="1">
        <v>0</v>
      </c>
      <c r="H609" s="1" t="s">
        <v>445</v>
      </c>
      <c r="I609" s="1" t="s">
        <v>1505</v>
      </c>
      <c r="J609" s="1" t="s">
        <v>1498</v>
      </c>
      <c r="K609" s="1" t="s">
        <v>516</v>
      </c>
      <c r="L609" s="1" t="s">
        <v>149</v>
      </c>
      <c r="M609" s="1" t="s">
        <v>51</v>
      </c>
      <c r="N609" s="1"/>
      <c r="O609" s="1">
        <f t="shared" si="9"/>
        <v>0</v>
      </c>
      <c r="P609" s="1" t="s">
        <v>448</v>
      </c>
    </row>
    <row r="610" spans="1:16" ht="69.25" customHeight="1">
      <c r="A610" s="1" t="s">
        <v>50</v>
      </c>
      <c r="B610" s="1" t="s">
        <v>47</v>
      </c>
      <c r="C610" s="1">
        <v>2022</v>
      </c>
      <c r="D610" s="1" t="s">
        <v>18</v>
      </c>
      <c r="E610" s="1" t="s">
        <v>102</v>
      </c>
      <c r="F610" s="1" t="s">
        <v>103</v>
      </c>
      <c r="G610" s="1">
        <v>0</v>
      </c>
      <c r="H610" s="1" t="s">
        <v>445</v>
      </c>
      <c r="I610" s="1" t="s">
        <v>1506</v>
      </c>
      <c r="J610" s="1" t="s">
        <v>1498</v>
      </c>
      <c r="K610" s="1" t="s">
        <v>639</v>
      </c>
      <c r="L610" s="1" t="s">
        <v>149</v>
      </c>
      <c r="M610" s="1" t="s">
        <v>51</v>
      </c>
      <c r="N610" s="1"/>
      <c r="O610" s="1">
        <f t="shared" si="9"/>
        <v>0</v>
      </c>
      <c r="P610" s="1" t="s">
        <v>448</v>
      </c>
    </row>
    <row r="611" spans="1:16" ht="69.25" customHeight="1">
      <c r="A611" s="1" t="s">
        <v>50</v>
      </c>
      <c r="B611" s="1" t="s">
        <v>47</v>
      </c>
      <c r="C611" s="1">
        <v>2022</v>
      </c>
      <c r="D611" s="1" t="s">
        <v>18</v>
      </c>
      <c r="E611" s="1" t="s">
        <v>106</v>
      </c>
      <c r="F611" s="1" t="s">
        <v>107</v>
      </c>
      <c r="G611" s="1">
        <v>1</v>
      </c>
      <c r="H611" s="1" t="s">
        <v>429</v>
      </c>
      <c r="I611" s="1" t="s">
        <v>1507</v>
      </c>
      <c r="J611" s="1" t="s">
        <v>1498</v>
      </c>
      <c r="K611" s="1" t="s">
        <v>606</v>
      </c>
      <c r="L611" s="1" t="s">
        <v>149</v>
      </c>
      <c r="M611" s="1" t="s">
        <v>51</v>
      </c>
      <c r="N611" s="1"/>
      <c r="O611" s="1">
        <f t="shared" si="9"/>
        <v>1</v>
      </c>
      <c r="P611" s="1" t="s">
        <v>1246</v>
      </c>
    </row>
    <row r="612" spans="1:16" ht="69.25" customHeight="1">
      <c r="A612" s="1" t="s">
        <v>50</v>
      </c>
      <c r="B612" s="1" t="s">
        <v>47</v>
      </c>
      <c r="C612" s="1">
        <v>2023</v>
      </c>
      <c r="D612" s="1" t="s">
        <v>18</v>
      </c>
      <c r="E612" s="1" t="s">
        <v>70</v>
      </c>
      <c r="F612" s="1" t="s">
        <v>71</v>
      </c>
      <c r="G612" s="1">
        <v>1</v>
      </c>
      <c r="H612" s="1" t="s">
        <v>429</v>
      </c>
      <c r="I612" s="1" t="s">
        <v>1508</v>
      </c>
      <c r="J612" s="1" t="s">
        <v>1509</v>
      </c>
      <c r="K612" s="1" t="s">
        <v>844</v>
      </c>
      <c r="L612" s="1" t="s">
        <v>149</v>
      </c>
      <c r="M612" s="1" t="s">
        <v>51</v>
      </c>
      <c r="N612" s="1"/>
      <c r="O612" s="1">
        <f t="shared" si="9"/>
        <v>1</v>
      </c>
      <c r="P612" s="1" t="s">
        <v>433</v>
      </c>
    </row>
    <row r="613" spans="1:16" ht="69.25" customHeight="1">
      <c r="A613" s="1" t="s">
        <v>50</v>
      </c>
      <c r="B613" s="1" t="s">
        <v>47</v>
      </c>
      <c r="C613" s="1">
        <v>2023</v>
      </c>
      <c r="D613" s="1" t="s">
        <v>18</v>
      </c>
      <c r="E613" s="1" t="s">
        <v>74</v>
      </c>
      <c r="F613" s="1" t="s">
        <v>75</v>
      </c>
      <c r="G613" s="1">
        <v>1</v>
      </c>
      <c r="H613" s="1" t="s">
        <v>429</v>
      </c>
      <c r="I613" s="1" t="s">
        <v>1510</v>
      </c>
      <c r="J613" s="1" t="s">
        <v>1509</v>
      </c>
      <c r="K613" s="1" t="s">
        <v>1511</v>
      </c>
      <c r="L613" s="1" t="s">
        <v>149</v>
      </c>
      <c r="M613" s="1" t="s">
        <v>51</v>
      </c>
      <c r="N613" s="1"/>
      <c r="O613" s="1">
        <f t="shared" si="9"/>
        <v>1</v>
      </c>
      <c r="P613" s="1" t="s">
        <v>460</v>
      </c>
    </row>
    <row r="614" spans="1:16" ht="69.25" customHeight="1">
      <c r="A614" s="1" t="s">
        <v>50</v>
      </c>
      <c r="B614" s="1" t="s">
        <v>47</v>
      </c>
      <c r="C614" s="1">
        <v>2023</v>
      </c>
      <c r="D614" s="1" t="s">
        <v>18</v>
      </c>
      <c r="E614" s="1" t="s">
        <v>78</v>
      </c>
      <c r="F614" s="1" t="s">
        <v>79</v>
      </c>
      <c r="G614" s="1">
        <v>0</v>
      </c>
      <c r="H614" s="1" t="s">
        <v>434</v>
      </c>
      <c r="I614" s="1" t="s">
        <v>1512</v>
      </c>
      <c r="J614" s="1" t="s">
        <v>1509</v>
      </c>
      <c r="K614" s="1" t="s">
        <v>918</v>
      </c>
      <c r="L614" s="1" t="s">
        <v>149</v>
      </c>
      <c r="M614" s="1" t="s">
        <v>51</v>
      </c>
      <c r="N614" s="1"/>
      <c r="O614" s="1">
        <f t="shared" si="9"/>
        <v>0</v>
      </c>
      <c r="P614" s="1" t="s">
        <v>439</v>
      </c>
    </row>
    <row r="615" spans="1:16" ht="69.25" customHeight="1">
      <c r="A615" s="1" t="s">
        <v>50</v>
      </c>
      <c r="B615" s="1" t="s">
        <v>47</v>
      </c>
      <c r="C615" s="1">
        <v>2023</v>
      </c>
      <c r="D615" s="1" t="s">
        <v>18</v>
      </c>
      <c r="E615" s="1" t="s">
        <v>82</v>
      </c>
      <c r="F615" s="1" t="s">
        <v>83</v>
      </c>
      <c r="G615" s="1">
        <v>1</v>
      </c>
      <c r="H615" s="1" t="s">
        <v>429</v>
      </c>
      <c r="I615" s="1" t="s">
        <v>1513</v>
      </c>
      <c r="J615" s="1" t="s">
        <v>1509</v>
      </c>
      <c r="K615" s="1" t="s">
        <v>633</v>
      </c>
      <c r="L615" s="1" t="s">
        <v>149</v>
      </c>
      <c r="M615" s="1" t="s">
        <v>51</v>
      </c>
      <c r="N615" s="1"/>
      <c r="O615" s="1">
        <f t="shared" si="9"/>
        <v>1</v>
      </c>
      <c r="P615" s="1" t="s">
        <v>465</v>
      </c>
    </row>
    <row r="616" spans="1:16" ht="69.25" customHeight="1">
      <c r="A616" s="1" t="s">
        <v>50</v>
      </c>
      <c r="B616" s="1" t="s">
        <v>47</v>
      </c>
      <c r="C616" s="1">
        <v>2023</v>
      </c>
      <c r="D616" s="1" t="s">
        <v>18</v>
      </c>
      <c r="E616" s="1" t="s">
        <v>86</v>
      </c>
      <c r="F616" s="1" t="s">
        <v>87</v>
      </c>
      <c r="G616" s="1">
        <v>1</v>
      </c>
      <c r="H616" s="1" t="s">
        <v>429</v>
      </c>
      <c r="I616" s="1" t="s">
        <v>1514</v>
      </c>
      <c r="J616" s="1" t="s">
        <v>1509</v>
      </c>
      <c r="K616" s="1" t="s">
        <v>639</v>
      </c>
      <c r="L616" s="1" t="s">
        <v>149</v>
      </c>
      <c r="M616" s="1" t="s">
        <v>51</v>
      </c>
      <c r="N616" s="1"/>
      <c r="O616" s="1">
        <f t="shared" si="9"/>
        <v>1</v>
      </c>
      <c r="P616" s="1" t="s">
        <v>467</v>
      </c>
    </row>
    <row r="617" spans="1:16" ht="69.25" customHeight="1">
      <c r="A617" s="1" t="s">
        <v>50</v>
      </c>
      <c r="B617" s="1" t="s">
        <v>47</v>
      </c>
      <c r="C617" s="1">
        <v>2023</v>
      </c>
      <c r="D617" s="1" t="s">
        <v>18</v>
      </c>
      <c r="E617" s="1" t="s">
        <v>90</v>
      </c>
      <c r="F617" s="1" t="s">
        <v>91</v>
      </c>
      <c r="G617" s="1">
        <v>1</v>
      </c>
      <c r="H617" s="1" t="s">
        <v>429</v>
      </c>
      <c r="I617" s="1" t="s">
        <v>1515</v>
      </c>
      <c r="J617" s="1" t="s">
        <v>1509</v>
      </c>
      <c r="K617" s="1" t="s">
        <v>555</v>
      </c>
      <c r="L617" s="1" t="s">
        <v>149</v>
      </c>
      <c r="M617" s="1" t="s">
        <v>51</v>
      </c>
      <c r="N617" s="1"/>
      <c r="O617" s="1">
        <f t="shared" si="9"/>
        <v>1</v>
      </c>
      <c r="P617" s="1" t="s">
        <v>526</v>
      </c>
    </row>
    <row r="618" spans="1:16" ht="69.25" customHeight="1">
      <c r="A618" s="1" t="s">
        <v>50</v>
      </c>
      <c r="B618" s="1" t="s">
        <v>47</v>
      </c>
      <c r="C618" s="1">
        <v>2023</v>
      </c>
      <c r="D618" s="1" t="s">
        <v>18</v>
      </c>
      <c r="E618" s="1" t="s">
        <v>94</v>
      </c>
      <c r="F618" s="1" t="s">
        <v>95</v>
      </c>
      <c r="G618" s="1">
        <v>1</v>
      </c>
      <c r="H618" s="1" t="s">
        <v>429</v>
      </c>
      <c r="I618" s="1" t="s">
        <v>1516</v>
      </c>
      <c r="J618" s="1" t="s">
        <v>1509</v>
      </c>
      <c r="K618" s="1" t="s">
        <v>797</v>
      </c>
      <c r="L618" s="1" t="s">
        <v>149</v>
      </c>
      <c r="M618" s="1" t="s">
        <v>51</v>
      </c>
      <c r="N618" s="1"/>
      <c r="O618" s="1">
        <f t="shared" si="9"/>
        <v>1</v>
      </c>
      <c r="P618" s="1" t="s">
        <v>643</v>
      </c>
    </row>
    <row r="619" spans="1:16" ht="69.25" customHeight="1">
      <c r="A619" s="1" t="s">
        <v>50</v>
      </c>
      <c r="B619" s="1" t="s">
        <v>47</v>
      </c>
      <c r="C619" s="1">
        <v>2023</v>
      </c>
      <c r="D619" s="1" t="s">
        <v>18</v>
      </c>
      <c r="E619" s="1" t="s">
        <v>98</v>
      </c>
      <c r="F619" s="1" t="s">
        <v>99</v>
      </c>
      <c r="G619" s="1">
        <v>0</v>
      </c>
      <c r="H619" s="1" t="s">
        <v>434</v>
      </c>
      <c r="I619" s="1" t="s">
        <v>1517</v>
      </c>
      <c r="J619" s="1" t="s">
        <v>1509</v>
      </c>
      <c r="K619" s="1" t="s">
        <v>1333</v>
      </c>
      <c r="L619" s="1" t="s">
        <v>149</v>
      </c>
      <c r="M619" s="1" t="s">
        <v>51</v>
      </c>
      <c r="N619" s="1"/>
      <c r="O619" s="1">
        <f t="shared" si="9"/>
        <v>0</v>
      </c>
      <c r="P619" s="1" t="s">
        <v>472</v>
      </c>
    </row>
    <row r="620" spans="1:16" ht="69.25" customHeight="1">
      <c r="A620" s="1" t="s">
        <v>50</v>
      </c>
      <c r="B620" s="1" t="s">
        <v>47</v>
      </c>
      <c r="C620" s="1">
        <v>2023</v>
      </c>
      <c r="D620" s="1" t="s">
        <v>18</v>
      </c>
      <c r="E620" s="1" t="s">
        <v>102</v>
      </c>
      <c r="F620" s="1" t="s">
        <v>103</v>
      </c>
      <c r="G620" s="1">
        <v>0</v>
      </c>
      <c r="H620" s="1" t="s">
        <v>445</v>
      </c>
      <c r="I620" s="1" t="s">
        <v>1518</v>
      </c>
      <c r="J620" s="1" t="s">
        <v>1509</v>
      </c>
      <c r="K620" s="1" t="s">
        <v>538</v>
      </c>
      <c r="L620" s="1" t="s">
        <v>149</v>
      </c>
      <c r="M620" s="1" t="s">
        <v>51</v>
      </c>
      <c r="N620" s="1"/>
      <c r="O620" s="1">
        <f t="shared" si="9"/>
        <v>0</v>
      </c>
      <c r="P620" s="1" t="s">
        <v>448</v>
      </c>
    </row>
    <row r="621" spans="1:16" ht="69.25" customHeight="1">
      <c r="A621" s="1" t="s">
        <v>50</v>
      </c>
      <c r="B621" s="1" t="s">
        <v>47</v>
      </c>
      <c r="C621" s="1">
        <v>2023</v>
      </c>
      <c r="D621" s="1" t="s">
        <v>18</v>
      </c>
      <c r="E621" s="1" t="s">
        <v>106</v>
      </c>
      <c r="F621" s="1" t="s">
        <v>107</v>
      </c>
      <c r="G621" s="1">
        <v>0</v>
      </c>
      <c r="H621" s="1" t="s">
        <v>434</v>
      </c>
      <c r="I621" s="1" t="s">
        <v>1519</v>
      </c>
      <c r="J621" s="1" t="s">
        <v>1509</v>
      </c>
      <c r="K621" s="1" t="s">
        <v>1520</v>
      </c>
      <c r="L621" s="1" t="s">
        <v>149</v>
      </c>
      <c r="M621" s="1" t="s">
        <v>51</v>
      </c>
      <c r="N621" s="1"/>
      <c r="O621" s="1">
        <f t="shared" si="9"/>
        <v>0</v>
      </c>
      <c r="P621" s="1" t="s">
        <v>454</v>
      </c>
    </row>
    <row r="622" spans="1:16" ht="69.25" customHeight="1">
      <c r="A622" s="1" t="s">
        <v>50</v>
      </c>
      <c r="B622" s="1" t="s">
        <v>47</v>
      </c>
      <c r="C622" s="1">
        <v>2024</v>
      </c>
      <c r="D622" s="1" t="s">
        <v>18</v>
      </c>
      <c r="E622" s="1" t="s">
        <v>70</v>
      </c>
      <c r="F622" s="1" t="s">
        <v>71</v>
      </c>
      <c r="G622" s="1">
        <v>1</v>
      </c>
      <c r="H622" s="1" t="s">
        <v>429</v>
      </c>
      <c r="I622" s="1" t="s">
        <v>1521</v>
      </c>
      <c r="J622" s="1" t="s">
        <v>1522</v>
      </c>
      <c r="K622" s="1" t="s">
        <v>947</v>
      </c>
      <c r="L622" s="1" t="s">
        <v>149</v>
      </c>
      <c r="M622" s="1" t="s">
        <v>51</v>
      </c>
      <c r="N622" s="1"/>
      <c r="O622" s="1">
        <f t="shared" si="9"/>
        <v>1</v>
      </c>
      <c r="P622" s="1" t="s">
        <v>433</v>
      </c>
    </row>
    <row r="623" spans="1:16" ht="69.25" customHeight="1">
      <c r="A623" s="1" t="s">
        <v>50</v>
      </c>
      <c r="B623" s="1" t="s">
        <v>47</v>
      </c>
      <c r="C623" s="1">
        <v>2024</v>
      </c>
      <c r="D623" s="1" t="s">
        <v>18</v>
      </c>
      <c r="E623" s="1" t="s">
        <v>74</v>
      </c>
      <c r="F623" s="1" t="s">
        <v>75</v>
      </c>
      <c r="G623" s="1">
        <v>1</v>
      </c>
      <c r="H623" s="1" t="s">
        <v>429</v>
      </c>
      <c r="I623" s="1" t="s">
        <v>1523</v>
      </c>
      <c r="J623" s="1" t="s">
        <v>1522</v>
      </c>
      <c r="K623" s="1" t="s">
        <v>1318</v>
      </c>
      <c r="L623" s="1" t="s">
        <v>149</v>
      </c>
      <c r="M623" s="1" t="s">
        <v>51</v>
      </c>
      <c r="N623" s="1"/>
      <c r="O623" s="1">
        <f t="shared" si="9"/>
        <v>1</v>
      </c>
      <c r="P623" s="1" t="s">
        <v>460</v>
      </c>
    </row>
    <row r="624" spans="1:16" ht="69.25" customHeight="1">
      <c r="A624" s="1" t="s">
        <v>50</v>
      </c>
      <c r="B624" s="1" t="s">
        <v>47</v>
      </c>
      <c r="C624" s="1">
        <v>2024</v>
      </c>
      <c r="D624" s="1" t="s">
        <v>18</v>
      </c>
      <c r="E624" s="1" t="s">
        <v>78</v>
      </c>
      <c r="F624" s="1" t="s">
        <v>79</v>
      </c>
      <c r="G624" s="1">
        <v>0</v>
      </c>
      <c r="H624" s="1" t="s">
        <v>434</v>
      </c>
      <c r="I624" s="1" t="s">
        <v>1524</v>
      </c>
      <c r="J624" s="1" t="s">
        <v>1522</v>
      </c>
      <c r="K624" s="1" t="s">
        <v>1525</v>
      </c>
      <c r="L624" s="1" t="s">
        <v>149</v>
      </c>
      <c r="M624" s="1" t="s">
        <v>51</v>
      </c>
      <c r="N624" s="1"/>
      <c r="O624" s="1">
        <f t="shared" si="9"/>
        <v>0</v>
      </c>
      <c r="P624" s="1" t="s">
        <v>439</v>
      </c>
    </row>
    <row r="625" spans="1:16" ht="69.25" customHeight="1">
      <c r="A625" s="1" t="s">
        <v>50</v>
      </c>
      <c r="B625" s="1" t="s">
        <v>47</v>
      </c>
      <c r="C625" s="1">
        <v>2024</v>
      </c>
      <c r="D625" s="1" t="s">
        <v>18</v>
      </c>
      <c r="E625" s="1" t="s">
        <v>82</v>
      </c>
      <c r="F625" s="1" t="s">
        <v>83</v>
      </c>
      <c r="G625" s="1">
        <v>1</v>
      </c>
      <c r="H625" s="1" t="s">
        <v>429</v>
      </c>
      <c r="I625" s="1" t="s">
        <v>1526</v>
      </c>
      <c r="J625" s="1" t="s">
        <v>1522</v>
      </c>
      <c r="K625" s="1" t="s">
        <v>1318</v>
      </c>
      <c r="L625" s="1" t="s">
        <v>149</v>
      </c>
      <c r="M625" s="1" t="s">
        <v>51</v>
      </c>
      <c r="N625" s="1"/>
      <c r="O625" s="1">
        <f t="shared" si="9"/>
        <v>1</v>
      </c>
      <c r="P625" s="1" t="s">
        <v>465</v>
      </c>
    </row>
    <row r="626" spans="1:16" ht="69.25" customHeight="1">
      <c r="A626" s="1" t="s">
        <v>50</v>
      </c>
      <c r="B626" s="1" t="s">
        <v>47</v>
      </c>
      <c r="C626" s="1">
        <v>2024</v>
      </c>
      <c r="D626" s="1" t="s">
        <v>18</v>
      </c>
      <c r="E626" s="1" t="s">
        <v>86</v>
      </c>
      <c r="F626" s="1" t="s">
        <v>87</v>
      </c>
      <c r="G626" s="1">
        <v>1</v>
      </c>
      <c r="H626" s="1" t="s">
        <v>429</v>
      </c>
      <c r="I626" s="1" t="s">
        <v>1527</v>
      </c>
      <c r="J626" s="1" t="s">
        <v>1522</v>
      </c>
      <c r="K626" s="1" t="s">
        <v>1528</v>
      </c>
      <c r="L626" s="1" t="s">
        <v>149</v>
      </c>
      <c r="M626" s="1" t="s">
        <v>51</v>
      </c>
      <c r="N626" s="1"/>
      <c r="O626" s="1">
        <f t="shared" si="9"/>
        <v>1</v>
      </c>
      <c r="P626" s="1" t="s">
        <v>467</v>
      </c>
    </row>
    <row r="627" spans="1:16" ht="69.25" customHeight="1">
      <c r="A627" s="1" t="s">
        <v>50</v>
      </c>
      <c r="B627" s="1" t="s">
        <v>47</v>
      </c>
      <c r="C627" s="1">
        <v>2024</v>
      </c>
      <c r="D627" s="1" t="s">
        <v>18</v>
      </c>
      <c r="E627" s="1" t="s">
        <v>90</v>
      </c>
      <c r="F627" s="1" t="s">
        <v>91</v>
      </c>
      <c r="G627" s="1">
        <v>1</v>
      </c>
      <c r="H627" s="1" t="s">
        <v>429</v>
      </c>
      <c r="I627" s="1" t="s">
        <v>1529</v>
      </c>
      <c r="J627" s="1" t="s">
        <v>1522</v>
      </c>
      <c r="K627" s="1" t="s">
        <v>1528</v>
      </c>
      <c r="L627" s="1" t="s">
        <v>149</v>
      </c>
      <c r="M627" s="1" t="s">
        <v>51</v>
      </c>
      <c r="N627" s="1"/>
      <c r="O627" s="1">
        <f t="shared" si="9"/>
        <v>1</v>
      </c>
      <c r="P627" s="1" t="s">
        <v>526</v>
      </c>
    </row>
    <row r="628" spans="1:16" ht="69.25" customHeight="1">
      <c r="A628" s="1" t="s">
        <v>50</v>
      </c>
      <c r="B628" s="1" t="s">
        <v>47</v>
      </c>
      <c r="C628" s="1">
        <v>2024</v>
      </c>
      <c r="D628" s="1" t="s">
        <v>18</v>
      </c>
      <c r="E628" s="1" t="s">
        <v>94</v>
      </c>
      <c r="F628" s="1" t="s">
        <v>95</v>
      </c>
      <c r="G628" s="1">
        <v>1</v>
      </c>
      <c r="H628" s="1" t="s">
        <v>429</v>
      </c>
      <c r="I628" s="1" t="s">
        <v>1530</v>
      </c>
      <c r="J628" s="1" t="s">
        <v>1522</v>
      </c>
      <c r="K628" s="1" t="s">
        <v>1013</v>
      </c>
      <c r="L628" s="1" t="s">
        <v>149</v>
      </c>
      <c r="M628" s="1" t="s">
        <v>51</v>
      </c>
      <c r="N628" s="1"/>
      <c r="O628" s="1">
        <f t="shared" si="9"/>
        <v>1</v>
      </c>
      <c r="P628" s="1" t="s">
        <v>643</v>
      </c>
    </row>
    <row r="629" spans="1:16" ht="69.25" customHeight="1">
      <c r="A629" s="1" t="s">
        <v>50</v>
      </c>
      <c r="B629" s="1" t="s">
        <v>47</v>
      </c>
      <c r="C629" s="1">
        <v>2024</v>
      </c>
      <c r="D629" s="1" t="s">
        <v>18</v>
      </c>
      <c r="E629" s="1" t="s">
        <v>98</v>
      </c>
      <c r="F629" s="1" t="s">
        <v>99</v>
      </c>
      <c r="G629" s="1">
        <v>1</v>
      </c>
      <c r="H629" s="1" t="s">
        <v>429</v>
      </c>
      <c r="I629" s="1" t="s">
        <v>1531</v>
      </c>
      <c r="J629" s="1" t="s">
        <v>1522</v>
      </c>
      <c r="K629" s="1" t="s">
        <v>1532</v>
      </c>
      <c r="L629" s="1" t="s">
        <v>149</v>
      </c>
      <c r="M629" s="1" t="s">
        <v>51</v>
      </c>
      <c r="N629" s="1"/>
      <c r="O629" s="1">
        <f t="shared" si="9"/>
        <v>1</v>
      </c>
      <c r="P629" s="1" t="s">
        <v>451</v>
      </c>
    </row>
    <row r="630" spans="1:16" ht="69.25" customHeight="1">
      <c r="A630" s="1" t="s">
        <v>50</v>
      </c>
      <c r="B630" s="1" t="s">
        <v>47</v>
      </c>
      <c r="C630" s="1">
        <v>2024</v>
      </c>
      <c r="D630" s="1" t="s">
        <v>18</v>
      </c>
      <c r="E630" s="1" t="s">
        <v>102</v>
      </c>
      <c r="F630" s="1" t="s">
        <v>103</v>
      </c>
      <c r="G630" s="1">
        <v>0</v>
      </c>
      <c r="H630" s="1" t="s">
        <v>445</v>
      </c>
      <c r="I630" s="1" t="s">
        <v>1533</v>
      </c>
      <c r="J630" s="1" t="s">
        <v>1522</v>
      </c>
      <c r="K630" s="1" t="s">
        <v>637</v>
      </c>
      <c r="L630" s="1" t="s">
        <v>149</v>
      </c>
      <c r="M630" s="1" t="s">
        <v>51</v>
      </c>
      <c r="N630" s="1"/>
      <c r="O630" s="1">
        <f t="shared" si="9"/>
        <v>0</v>
      </c>
      <c r="P630" s="1" t="s">
        <v>448</v>
      </c>
    </row>
    <row r="631" spans="1:16" ht="69.25" customHeight="1">
      <c r="A631" s="1" t="s">
        <v>50</v>
      </c>
      <c r="B631" s="1" t="s">
        <v>47</v>
      </c>
      <c r="C631" s="1">
        <v>2024</v>
      </c>
      <c r="D631" s="1" t="s">
        <v>18</v>
      </c>
      <c r="E631" s="1" t="s">
        <v>106</v>
      </c>
      <c r="F631" s="1" t="s">
        <v>107</v>
      </c>
      <c r="G631" s="1">
        <v>1</v>
      </c>
      <c r="H631" s="1" t="s">
        <v>429</v>
      </c>
      <c r="I631" s="1" t="s">
        <v>1534</v>
      </c>
      <c r="J631" s="1" t="s">
        <v>1522</v>
      </c>
      <c r="K631" s="1" t="s">
        <v>844</v>
      </c>
      <c r="L631" s="1" t="s">
        <v>149</v>
      </c>
      <c r="M631" s="1" t="s">
        <v>51</v>
      </c>
      <c r="N631" s="1"/>
      <c r="O631" s="1">
        <f t="shared" si="9"/>
        <v>1</v>
      </c>
      <c r="P631" s="1" t="s">
        <v>1246</v>
      </c>
    </row>
    <row r="632" spans="1:16" ht="69.25" customHeight="1">
      <c r="A632" s="1" t="s">
        <v>50</v>
      </c>
      <c r="B632" s="1" t="s">
        <v>47</v>
      </c>
      <c r="C632" s="1">
        <v>2025</v>
      </c>
      <c r="D632" s="1" t="s">
        <v>18</v>
      </c>
      <c r="E632" s="1" t="s">
        <v>70</v>
      </c>
      <c r="F632" s="1" t="s">
        <v>71</v>
      </c>
      <c r="G632" s="1">
        <v>1</v>
      </c>
      <c r="H632" s="1" t="s">
        <v>429</v>
      </c>
      <c r="I632" s="1" t="s">
        <v>1535</v>
      </c>
      <c r="J632" s="1" t="s">
        <v>1536</v>
      </c>
      <c r="K632" s="1" t="s">
        <v>936</v>
      </c>
      <c r="L632" s="1" t="s">
        <v>149</v>
      </c>
      <c r="M632" s="1" t="s">
        <v>51</v>
      </c>
      <c r="N632" s="1"/>
      <c r="O632" s="1">
        <f t="shared" si="9"/>
        <v>1</v>
      </c>
      <c r="P632" s="1" t="s">
        <v>433</v>
      </c>
    </row>
    <row r="633" spans="1:16" ht="69.25" customHeight="1">
      <c r="A633" s="1" t="s">
        <v>50</v>
      </c>
      <c r="B633" s="1" t="s">
        <v>47</v>
      </c>
      <c r="C633" s="1">
        <v>2025</v>
      </c>
      <c r="D633" s="1" t="s">
        <v>18</v>
      </c>
      <c r="E633" s="1" t="s">
        <v>74</v>
      </c>
      <c r="F633" s="1" t="s">
        <v>75</v>
      </c>
      <c r="G633" s="1">
        <v>1</v>
      </c>
      <c r="H633" s="1" t="s">
        <v>429</v>
      </c>
      <c r="I633" s="1" t="s">
        <v>1537</v>
      </c>
      <c r="J633" s="1" t="s">
        <v>1536</v>
      </c>
      <c r="K633" s="1" t="s">
        <v>794</v>
      </c>
      <c r="L633" s="1" t="s">
        <v>149</v>
      </c>
      <c r="M633" s="1" t="s">
        <v>51</v>
      </c>
      <c r="N633" s="1"/>
      <c r="O633" s="1">
        <f t="shared" si="9"/>
        <v>1</v>
      </c>
      <c r="P633" s="1" t="s">
        <v>460</v>
      </c>
    </row>
    <row r="634" spans="1:16" ht="69.25" customHeight="1">
      <c r="A634" s="1" t="s">
        <v>50</v>
      </c>
      <c r="B634" s="1" t="s">
        <v>47</v>
      </c>
      <c r="C634" s="1">
        <v>2025</v>
      </c>
      <c r="D634" s="1" t="s">
        <v>18</v>
      </c>
      <c r="E634" s="1" t="s">
        <v>78</v>
      </c>
      <c r="F634" s="1" t="s">
        <v>79</v>
      </c>
      <c r="G634" s="1">
        <v>0</v>
      </c>
      <c r="H634" s="1" t="s">
        <v>434</v>
      </c>
      <c r="I634" s="1" t="s">
        <v>1538</v>
      </c>
      <c r="J634" s="1" t="s">
        <v>1536</v>
      </c>
      <c r="K634" s="1" t="s">
        <v>1539</v>
      </c>
      <c r="L634" s="1" t="s">
        <v>149</v>
      </c>
      <c r="M634" s="1" t="s">
        <v>51</v>
      </c>
      <c r="N634" s="1"/>
      <c r="O634" s="1">
        <f t="shared" si="9"/>
        <v>0</v>
      </c>
      <c r="P634" s="1" t="s">
        <v>439</v>
      </c>
    </row>
    <row r="635" spans="1:16" ht="69.25" customHeight="1">
      <c r="A635" s="1" t="s">
        <v>50</v>
      </c>
      <c r="B635" s="1" t="s">
        <v>47</v>
      </c>
      <c r="C635" s="1">
        <v>2025</v>
      </c>
      <c r="D635" s="1" t="s">
        <v>18</v>
      </c>
      <c r="E635" s="1" t="s">
        <v>82</v>
      </c>
      <c r="F635" s="1" t="s">
        <v>83</v>
      </c>
      <c r="G635" s="1">
        <v>1</v>
      </c>
      <c r="H635" s="1" t="s">
        <v>429</v>
      </c>
      <c r="I635" s="1" t="s">
        <v>1540</v>
      </c>
      <c r="J635" s="1" t="s">
        <v>1536</v>
      </c>
      <c r="K635" s="1" t="s">
        <v>797</v>
      </c>
      <c r="L635" s="1" t="s">
        <v>149</v>
      </c>
      <c r="M635" s="1" t="s">
        <v>51</v>
      </c>
      <c r="N635" s="1"/>
      <c r="O635" s="1">
        <f t="shared" si="9"/>
        <v>1</v>
      </c>
      <c r="P635" s="1" t="s">
        <v>465</v>
      </c>
    </row>
    <row r="636" spans="1:16" ht="69.25" customHeight="1">
      <c r="A636" s="1" t="s">
        <v>50</v>
      </c>
      <c r="B636" s="1" t="s">
        <v>47</v>
      </c>
      <c r="C636" s="1">
        <v>2025</v>
      </c>
      <c r="D636" s="1" t="s">
        <v>18</v>
      </c>
      <c r="E636" s="1" t="s">
        <v>86</v>
      </c>
      <c r="F636" s="1" t="s">
        <v>87</v>
      </c>
      <c r="G636" s="1">
        <v>1</v>
      </c>
      <c r="H636" s="1" t="s">
        <v>429</v>
      </c>
      <c r="I636" s="1" t="s">
        <v>1541</v>
      </c>
      <c r="J636" s="1" t="s">
        <v>1536</v>
      </c>
      <c r="K636" s="1" t="s">
        <v>982</v>
      </c>
      <c r="L636" s="1" t="s">
        <v>149</v>
      </c>
      <c r="M636" s="1" t="s">
        <v>51</v>
      </c>
      <c r="N636" s="1"/>
      <c r="O636" s="1">
        <f t="shared" si="9"/>
        <v>1</v>
      </c>
      <c r="P636" s="1" t="s">
        <v>467</v>
      </c>
    </row>
    <row r="637" spans="1:16" ht="69.25" customHeight="1">
      <c r="A637" s="1" t="s">
        <v>50</v>
      </c>
      <c r="B637" s="1" t="s">
        <v>47</v>
      </c>
      <c r="C637" s="1">
        <v>2025</v>
      </c>
      <c r="D637" s="1" t="s">
        <v>18</v>
      </c>
      <c r="E637" s="1" t="s">
        <v>90</v>
      </c>
      <c r="F637" s="1" t="s">
        <v>91</v>
      </c>
      <c r="G637" s="1">
        <v>1</v>
      </c>
      <c r="H637" s="1" t="s">
        <v>429</v>
      </c>
      <c r="I637" s="1" t="s">
        <v>1540</v>
      </c>
      <c r="J637" s="1" t="s">
        <v>1536</v>
      </c>
      <c r="K637" s="1" t="s">
        <v>797</v>
      </c>
      <c r="L637" s="1" t="s">
        <v>149</v>
      </c>
      <c r="M637" s="1" t="s">
        <v>51</v>
      </c>
      <c r="N637" s="1"/>
      <c r="O637" s="1">
        <f t="shared" si="9"/>
        <v>1</v>
      </c>
      <c r="P637" s="1" t="s">
        <v>526</v>
      </c>
    </row>
    <row r="638" spans="1:16" ht="69.25" customHeight="1">
      <c r="A638" s="1" t="s">
        <v>50</v>
      </c>
      <c r="B638" s="1" t="s">
        <v>47</v>
      </c>
      <c r="C638" s="1">
        <v>2025</v>
      </c>
      <c r="D638" s="1" t="s">
        <v>18</v>
      </c>
      <c r="E638" s="1" t="s">
        <v>94</v>
      </c>
      <c r="F638" s="1" t="s">
        <v>95</v>
      </c>
      <c r="G638" s="1">
        <v>1</v>
      </c>
      <c r="H638" s="1" t="s">
        <v>429</v>
      </c>
      <c r="I638" s="1" t="s">
        <v>1542</v>
      </c>
      <c r="J638" s="1" t="s">
        <v>1536</v>
      </c>
      <c r="K638" s="1" t="s">
        <v>987</v>
      </c>
      <c r="L638" s="1" t="s">
        <v>149</v>
      </c>
      <c r="M638" s="1" t="s">
        <v>51</v>
      </c>
      <c r="N638" s="1"/>
      <c r="O638" s="1">
        <f t="shared" si="9"/>
        <v>1</v>
      </c>
      <c r="P638" s="1" t="s">
        <v>643</v>
      </c>
    </row>
    <row r="639" spans="1:16" ht="69.25" customHeight="1">
      <c r="A639" s="1" t="s">
        <v>50</v>
      </c>
      <c r="B639" s="1" t="s">
        <v>47</v>
      </c>
      <c r="C639" s="1">
        <v>2025</v>
      </c>
      <c r="D639" s="1" t="s">
        <v>18</v>
      </c>
      <c r="E639" s="1" t="s">
        <v>98</v>
      </c>
      <c r="F639" s="1" t="s">
        <v>99</v>
      </c>
      <c r="G639" s="1">
        <v>1</v>
      </c>
      <c r="H639" s="1" t="s">
        <v>429</v>
      </c>
      <c r="I639" s="1" t="s">
        <v>1543</v>
      </c>
      <c r="J639" s="1" t="s">
        <v>1536</v>
      </c>
      <c r="K639" s="1" t="s">
        <v>548</v>
      </c>
      <c r="L639" s="1" t="s">
        <v>149</v>
      </c>
      <c r="M639" s="1" t="s">
        <v>51</v>
      </c>
      <c r="N639" s="1"/>
      <c r="O639" s="1">
        <f t="shared" si="9"/>
        <v>1</v>
      </c>
      <c r="P639" s="1" t="s">
        <v>451</v>
      </c>
    </row>
    <row r="640" spans="1:16" ht="69.25" customHeight="1">
      <c r="A640" s="1" t="s">
        <v>50</v>
      </c>
      <c r="B640" s="1" t="s">
        <v>47</v>
      </c>
      <c r="C640" s="1">
        <v>2025</v>
      </c>
      <c r="D640" s="1" t="s">
        <v>18</v>
      </c>
      <c r="E640" s="1" t="s">
        <v>102</v>
      </c>
      <c r="F640" s="1" t="s">
        <v>103</v>
      </c>
      <c r="G640" s="1">
        <v>0</v>
      </c>
      <c r="H640" s="1" t="s">
        <v>445</v>
      </c>
      <c r="I640" s="1" t="s">
        <v>1544</v>
      </c>
      <c r="J640" s="1" t="s">
        <v>1536</v>
      </c>
      <c r="K640" s="1" t="s">
        <v>794</v>
      </c>
      <c r="L640" s="1" t="s">
        <v>149</v>
      </c>
      <c r="M640" s="1" t="s">
        <v>51</v>
      </c>
      <c r="N640" s="1"/>
      <c r="O640" s="1">
        <f t="shared" si="9"/>
        <v>0</v>
      </c>
      <c r="P640" s="1" t="s">
        <v>448</v>
      </c>
    </row>
    <row r="641" spans="1:16" ht="69.25" customHeight="1">
      <c r="A641" s="1" t="s">
        <v>50</v>
      </c>
      <c r="B641" s="1" t="s">
        <v>47</v>
      </c>
      <c r="C641" s="1">
        <v>2025</v>
      </c>
      <c r="D641" s="1" t="s">
        <v>18</v>
      </c>
      <c r="E641" s="1" t="s">
        <v>106</v>
      </c>
      <c r="F641" s="1" t="s">
        <v>107</v>
      </c>
      <c r="G641" s="1">
        <v>0</v>
      </c>
      <c r="H641" s="1" t="s">
        <v>445</v>
      </c>
      <c r="I641" s="1" t="s">
        <v>1545</v>
      </c>
      <c r="J641" s="1" t="s">
        <v>1536</v>
      </c>
      <c r="K641" s="1" t="s">
        <v>691</v>
      </c>
      <c r="L641" s="1" t="s">
        <v>149</v>
      </c>
      <c r="M641" s="1" t="s">
        <v>51</v>
      </c>
      <c r="N641" s="1"/>
      <c r="O641" s="1">
        <f t="shared" si="9"/>
        <v>0</v>
      </c>
      <c r="P641" s="1" t="s">
        <v>448</v>
      </c>
    </row>
    <row r="642" spans="1:16" ht="69.25" customHeight="1">
      <c r="A642" s="1" t="s">
        <v>50</v>
      </c>
      <c r="B642" s="1" t="s">
        <v>52</v>
      </c>
      <c r="C642" s="1">
        <v>2022</v>
      </c>
      <c r="D642" s="1" t="s">
        <v>24</v>
      </c>
      <c r="E642" s="1" t="s">
        <v>70</v>
      </c>
      <c r="F642" s="1" t="s">
        <v>71</v>
      </c>
      <c r="G642" s="1">
        <v>1</v>
      </c>
      <c r="H642" s="1" t="s">
        <v>429</v>
      </c>
      <c r="I642" s="1" t="s">
        <v>1546</v>
      </c>
      <c r="J642" s="1" t="s">
        <v>1547</v>
      </c>
      <c r="K642" s="1" t="s">
        <v>561</v>
      </c>
      <c r="L642" s="1" t="s">
        <v>150</v>
      </c>
      <c r="M642" s="1" t="s">
        <v>51</v>
      </c>
      <c r="N642" s="1"/>
      <c r="O642" s="1">
        <f t="shared" ref="O642:O705" si="10">IF(N642&lt;&gt;"",N642,G642)</f>
        <v>1</v>
      </c>
      <c r="P642" s="1" t="s">
        <v>433</v>
      </c>
    </row>
    <row r="643" spans="1:16" ht="69.25" customHeight="1">
      <c r="A643" s="1" t="s">
        <v>50</v>
      </c>
      <c r="B643" s="1" t="s">
        <v>52</v>
      </c>
      <c r="C643" s="1">
        <v>2022</v>
      </c>
      <c r="D643" s="1" t="s">
        <v>24</v>
      </c>
      <c r="E643" s="1" t="s">
        <v>74</v>
      </c>
      <c r="F643" s="1" t="s">
        <v>75</v>
      </c>
      <c r="G643" s="1">
        <v>0</v>
      </c>
      <c r="H643" s="1" t="s">
        <v>434</v>
      </c>
      <c r="I643" s="1" t="s">
        <v>1548</v>
      </c>
      <c r="J643" s="1" t="s">
        <v>1547</v>
      </c>
      <c r="K643" s="1" t="s">
        <v>1549</v>
      </c>
      <c r="L643" s="1" t="s">
        <v>150</v>
      </c>
      <c r="M643" s="1" t="s">
        <v>51</v>
      </c>
      <c r="N643" s="1"/>
      <c r="O643" s="1">
        <f t="shared" si="10"/>
        <v>0</v>
      </c>
      <c r="P643" s="1" t="s">
        <v>437</v>
      </c>
    </row>
    <row r="644" spans="1:16" ht="69.25" customHeight="1">
      <c r="A644" s="1" t="s">
        <v>50</v>
      </c>
      <c r="B644" s="1" t="s">
        <v>52</v>
      </c>
      <c r="C644" s="1">
        <v>2022</v>
      </c>
      <c r="D644" s="1" t="s">
        <v>24</v>
      </c>
      <c r="E644" s="1" t="s">
        <v>78</v>
      </c>
      <c r="F644" s="1" t="s">
        <v>79</v>
      </c>
      <c r="G644" s="1">
        <v>0</v>
      </c>
      <c r="H644" s="1" t="s">
        <v>434</v>
      </c>
      <c r="I644" s="1" t="s">
        <v>1550</v>
      </c>
      <c r="J644" s="1" t="s">
        <v>1547</v>
      </c>
      <c r="K644" s="1" t="s">
        <v>691</v>
      </c>
      <c r="L644" s="1" t="s">
        <v>150</v>
      </c>
      <c r="M644" s="1" t="s">
        <v>51</v>
      </c>
      <c r="N644" s="1"/>
      <c r="O644" s="1">
        <f t="shared" si="10"/>
        <v>0</v>
      </c>
      <c r="P644" s="1" t="s">
        <v>439</v>
      </c>
    </row>
    <row r="645" spans="1:16" ht="69.25" customHeight="1">
      <c r="A645" s="1" t="s">
        <v>50</v>
      </c>
      <c r="B645" s="1" t="s">
        <v>52</v>
      </c>
      <c r="C645" s="1">
        <v>2022</v>
      </c>
      <c r="D645" s="1" t="s">
        <v>24</v>
      </c>
      <c r="E645" s="1" t="s">
        <v>82</v>
      </c>
      <c r="F645" s="1" t="s">
        <v>83</v>
      </c>
      <c r="G645" s="1">
        <v>1</v>
      </c>
      <c r="H645" s="1" t="s">
        <v>429</v>
      </c>
      <c r="I645" s="1" t="s">
        <v>1551</v>
      </c>
      <c r="J645" s="1" t="s">
        <v>1547</v>
      </c>
      <c r="K645" s="1" t="s">
        <v>1552</v>
      </c>
      <c r="L645" s="1" t="s">
        <v>150</v>
      </c>
      <c r="M645" s="1" t="s">
        <v>51</v>
      </c>
      <c r="N645" s="1"/>
      <c r="O645" s="1">
        <f t="shared" si="10"/>
        <v>1</v>
      </c>
      <c r="P645" s="1" t="s">
        <v>465</v>
      </c>
    </row>
    <row r="646" spans="1:16" ht="69.25" customHeight="1">
      <c r="A646" s="1" t="s">
        <v>50</v>
      </c>
      <c r="B646" s="1" t="s">
        <v>52</v>
      </c>
      <c r="C646" s="1">
        <v>2022</v>
      </c>
      <c r="D646" s="1" t="s">
        <v>24</v>
      </c>
      <c r="E646" s="1" t="s">
        <v>86</v>
      </c>
      <c r="F646" s="1" t="s">
        <v>87</v>
      </c>
      <c r="G646" s="1">
        <v>1</v>
      </c>
      <c r="H646" s="1" t="s">
        <v>429</v>
      </c>
      <c r="I646" s="1" t="s">
        <v>1553</v>
      </c>
      <c r="J646" s="1" t="s">
        <v>1547</v>
      </c>
      <c r="K646" s="1" t="s">
        <v>1552</v>
      </c>
      <c r="L646" s="1" t="s">
        <v>150</v>
      </c>
      <c r="M646" s="1" t="s">
        <v>51</v>
      </c>
      <c r="N646" s="1"/>
      <c r="O646" s="1">
        <f t="shared" si="10"/>
        <v>1</v>
      </c>
      <c r="P646" s="1" t="s">
        <v>467</v>
      </c>
    </row>
    <row r="647" spans="1:16" ht="69.25" customHeight="1">
      <c r="A647" s="1" t="s">
        <v>50</v>
      </c>
      <c r="B647" s="1" t="s">
        <v>52</v>
      </c>
      <c r="C647" s="1">
        <v>2022</v>
      </c>
      <c r="D647" s="1" t="s">
        <v>24</v>
      </c>
      <c r="E647" s="1" t="s">
        <v>90</v>
      </c>
      <c r="F647" s="1" t="s">
        <v>91</v>
      </c>
      <c r="G647" s="1">
        <v>1</v>
      </c>
      <c r="H647" s="1" t="s">
        <v>429</v>
      </c>
      <c r="I647" s="1" t="s">
        <v>1551</v>
      </c>
      <c r="J647" s="1" t="s">
        <v>1547</v>
      </c>
      <c r="K647" s="1" t="s">
        <v>1552</v>
      </c>
      <c r="L647" s="1" t="s">
        <v>150</v>
      </c>
      <c r="M647" s="1" t="s">
        <v>51</v>
      </c>
      <c r="N647" s="1"/>
      <c r="O647" s="1">
        <f t="shared" si="10"/>
        <v>1</v>
      </c>
      <c r="P647" s="1" t="s">
        <v>526</v>
      </c>
    </row>
    <row r="648" spans="1:16" ht="69.25" customHeight="1">
      <c r="A648" s="1" t="s">
        <v>50</v>
      </c>
      <c r="B648" s="1" t="s">
        <v>52</v>
      </c>
      <c r="C648" s="1">
        <v>2022</v>
      </c>
      <c r="D648" s="1" t="s">
        <v>24</v>
      </c>
      <c r="E648" s="1" t="s">
        <v>94</v>
      </c>
      <c r="F648" s="1" t="s">
        <v>95</v>
      </c>
      <c r="G648" s="1">
        <v>0</v>
      </c>
      <c r="H648" s="1" t="s">
        <v>445</v>
      </c>
      <c r="I648" s="1" t="s">
        <v>1554</v>
      </c>
      <c r="J648" s="1" t="s">
        <v>1547</v>
      </c>
      <c r="K648" s="1" t="s">
        <v>1015</v>
      </c>
      <c r="L648" s="1" t="s">
        <v>150</v>
      </c>
      <c r="M648" s="1" t="s">
        <v>51</v>
      </c>
      <c r="N648" s="1"/>
      <c r="O648" s="1">
        <f t="shared" si="10"/>
        <v>0</v>
      </c>
      <c r="P648" s="1" t="s">
        <v>448</v>
      </c>
    </row>
    <row r="649" spans="1:16" ht="69.25" customHeight="1">
      <c r="A649" s="1" t="s">
        <v>50</v>
      </c>
      <c r="B649" s="1" t="s">
        <v>52</v>
      </c>
      <c r="C649" s="1">
        <v>2022</v>
      </c>
      <c r="D649" s="1" t="s">
        <v>24</v>
      </c>
      <c r="E649" s="1" t="s">
        <v>98</v>
      </c>
      <c r="F649" s="1" t="s">
        <v>99</v>
      </c>
      <c r="G649" s="1">
        <v>0</v>
      </c>
      <c r="H649" s="1" t="s">
        <v>434</v>
      </c>
      <c r="I649" s="1" t="s">
        <v>1555</v>
      </c>
      <c r="J649" s="1" t="s">
        <v>1547</v>
      </c>
      <c r="K649" s="1" t="s">
        <v>1287</v>
      </c>
      <c r="L649" s="1" t="s">
        <v>150</v>
      </c>
      <c r="M649" s="1" t="s">
        <v>51</v>
      </c>
      <c r="N649" s="1"/>
      <c r="O649" s="1">
        <f t="shared" si="10"/>
        <v>0</v>
      </c>
      <c r="P649" s="1" t="s">
        <v>472</v>
      </c>
    </row>
    <row r="650" spans="1:16" ht="69.25" customHeight="1">
      <c r="A650" s="1" t="s">
        <v>50</v>
      </c>
      <c r="B650" s="1" t="s">
        <v>52</v>
      </c>
      <c r="C650" s="1">
        <v>2022</v>
      </c>
      <c r="D650" s="1" t="s">
        <v>24</v>
      </c>
      <c r="E650" s="1" t="s">
        <v>102</v>
      </c>
      <c r="F650" s="1" t="s">
        <v>103</v>
      </c>
      <c r="G650" s="1">
        <v>0</v>
      </c>
      <c r="H650" s="1" t="s">
        <v>434</v>
      </c>
      <c r="I650" s="1" t="s">
        <v>1548</v>
      </c>
      <c r="J650" s="1" t="s">
        <v>1547</v>
      </c>
      <c r="K650" s="1" t="s">
        <v>1549</v>
      </c>
      <c r="L650" s="1" t="s">
        <v>150</v>
      </c>
      <c r="M650" s="1" t="s">
        <v>51</v>
      </c>
      <c r="N650" s="1"/>
      <c r="O650" s="1">
        <f t="shared" si="10"/>
        <v>0</v>
      </c>
      <c r="P650" s="1" t="s">
        <v>452</v>
      </c>
    </row>
    <row r="651" spans="1:16" ht="69.25" customHeight="1">
      <c r="A651" s="1" t="s">
        <v>50</v>
      </c>
      <c r="B651" s="1" t="s">
        <v>52</v>
      </c>
      <c r="C651" s="1">
        <v>2022</v>
      </c>
      <c r="D651" s="1" t="s">
        <v>24</v>
      </c>
      <c r="E651" s="1" t="s">
        <v>106</v>
      </c>
      <c r="F651" s="1" t="s">
        <v>107</v>
      </c>
      <c r="G651" s="1">
        <v>0</v>
      </c>
      <c r="H651" s="1" t="s">
        <v>434</v>
      </c>
      <c r="I651" s="1" t="s">
        <v>1556</v>
      </c>
      <c r="J651" s="1" t="s">
        <v>1547</v>
      </c>
      <c r="K651" s="1" t="s">
        <v>1557</v>
      </c>
      <c r="L651" s="1" t="s">
        <v>150</v>
      </c>
      <c r="M651" s="1" t="s">
        <v>51</v>
      </c>
      <c r="N651" s="1"/>
      <c r="O651" s="1">
        <f t="shared" si="10"/>
        <v>0</v>
      </c>
      <c r="P651" s="1" t="s">
        <v>454</v>
      </c>
    </row>
    <row r="652" spans="1:16" ht="69.25" customHeight="1">
      <c r="A652" s="1" t="s">
        <v>50</v>
      </c>
      <c r="B652" s="1" t="s">
        <v>52</v>
      </c>
      <c r="C652" s="1">
        <v>2023</v>
      </c>
      <c r="D652" s="1" t="s">
        <v>24</v>
      </c>
      <c r="E652" s="1" t="s">
        <v>70</v>
      </c>
      <c r="F652" s="1" t="s">
        <v>71</v>
      </c>
      <c r="G652" s="1">
        <v>1</v>
      </c>
      <c r="H652" s="1" t="s">
        <v>429</v>
      </c>
      <c r="I652" s="1" t="s">
        <v>1558</v>
      </c>
      <c r="J652" s="1" t="s">
        <v>1559</v>
      </c>
      <c r="K652" s="1" t="s">
        <v>797</v>
      </c>
      <c r="L652" s="1" t="s">
        <v>150</v>
      </c>
      <c r="M652" s="1" t="s">
        <v>51</v>
      </c>
      <c r="N652" s="1"/>
      <c r="O652" s="1">
        <f t="shared" si="10"/>
        <v>1</v>
      </c>
      <c r="P652" s="1" t="s">
        <v>433</v>
      </c>
    </row>
    <row r="653" spans="1:16" ht="69.25" customHeight="1">
      <c r="A653" s="1" t="s">
        <v>50</v>
      </c>
      <c r="B653" s="1" t="s">
        <v>52</v>
      </c>
      <c r="C653" s="1">
        <v>2023</v>
      </c>
      <c r="D653" s="1" t="s">
        <v>24</v>
      </c>
      <c r="E653" s="1" t="s">
        <v>74</v>
      </c>
      <c r="F653" s="1" t="s">
        <v>75</v>
      </c>
      <c r="G653" s="1">
        <v>0</v>
      </c>
      <c r="H653" s="1" t="s">
        <v>434</v>
      </c>
      <c r="I653" s="1" t="s">
        <v>1560</v>
      </c>
      <c r="J653" s="1" t="s">
        <v>1559</v>
      </c>
      <c r="K653" s="1" t="s">
        <v>1350</v>
      </c>
      <c r="L653" s="1" t="s">
        <v>150</v>
      </c>
      <c r="M653" s="1" t="s">
        <v>51</v>
      </c>
      <c r="N653" s="1"/>
      <c r="O653" s="1">
        <f t="shared" si="10"/>
        <v>0</v>
      </c>
      <c r="P653" s="1" t="s">
        <v>437</v>
      </c>
    </row>
    <row r="654" spans="1:16" ht="69.25" customHeight="1">
      <c r="A654" s="1" t="s">
        <v>50</v>
      </c>
      <c r="B654" s="1" t="s">
        <v>52</v>
      </c>
      <c r="C654" s="1">
        <v>2023</v>
      </c>
      <c r="D654" s="1" t="s">
        <v>24</v>
      </c>
      <c r="E654" s="1" t="s">
        <v>78</v>
      </c>
      <c r="F654" s="1" t="s">
        <v>79</v>
      </c>
      <c r="G654" s="1">
        <v>1</v>
      </c>
      <c r="H654" s="1" t="s">
        <v>429</v>
      </c>
      <c r="I654" s="1" t="s">
        <v>1561</v>
      </c>
      <c r="J654" s="1" t="s">
        <v>1559</v>
      </c>
      <c r="K654" s="1" t="s">
        <v>1562</v>
      </c>
      <c r="L654" s="1" t="s">
        <v>150</v>
      </c>
      <c r="M654" s="1" t="s">
        <v>51</v>
      </c>
      <c r="N654" s="1"/>
      <c r="O654" s="1">
        <f t="shared" si="10"/>
        <v>1</v>
      </c>
      <c r="P654" s="1" t="s">
        <v>915</v>
      </c>
    </row>
    <row r="655" spans="1:16" ht="69.25" customHeight="1">
      <c r="A655" s="1" t="s">
        <v>50</v>
      </c>
      <c r="B655" s="1" t="s">
        <v>52</v>
      </c>
      <c r="C655" s="1">
        <v>2023</v>
      </c>
      <c r="D655" s="1" t="s">
        <v>24</v>
      </c>
      <c r="E655" s="1" t="s">
        <v>82</v>
      </c>
      <c r="F655" s="1" t="s">
        <v>83</v>
      </c>
      <c r="G655" s="1">
        <v>1</v>
      </c>
      <c r="H655" s="1" t="s">
        <v>429</v>
      </c>
      <c r="I655" s="1" t="s">
        <v>1563</v>
      </c>
      <c r="J655" s="1" t="s">
        <v>1559</v>
      </c>
      <c r="K655" s="1" t="s">
        <v>1083</v>
      </c>
      <c r="L655" s="1" t="s">
        <v>150</v>
      </c>
      <c r="M655" s="1" t="s">
        <v>51</v>
      </c>
      <c r="N655" s="1"/>
      <c r="O655" s="1">
        <f t="shared" si="10"/>
        <v>1</v>
      </c>
      <c r="P655" s="1" t="s">
        <v>465</v>
      </c>
    </row>
    <row r="656" spans="1:16" ht="69.25" customHeight="1">
      <c r="A656" s="1" t="s">
        <v>50</v>
      </c>
      <c r="B656" s="1" t="s">
        <v>52</v>
      </c>
      <c r="C656" s="1">
        <v>2023</v>
      </c>
      <c r="D656" s="1" t="s">
        <v>24</v>
      </c>
      <c r="E656" s="1" t="s">
        <v>86</v>
      </c>
      <c r="F656" s="1" t="s">
        <v>87</v>
      </c>
      <c r="G656" s="1">
        <v>1</v>
      </c>
      <c r="H656" s="1" t="s">
        <v>429</v>
      </c>
      <c r="I656" s="1" t="s">
        <v>1564</v>
      </c>
      <c r="J656" s="1" t="s">
        <v>1559</v>
      </c>
      <c r="K656" s="1" t="s">
        <v>1083</v>
      </c>
      <c r="L656" s="1" t="s">
        <v>150</v>
      </c>
      <c r="M656" s="1" t="s">
        <v>51</v>
      </c>
      <c r="N656" s="1"/>
      <c r="O656" s="1">
        <f t="shared" si="10"/>
        <v>1</v>
      </c>
      <c r="P656" s="1" t="s">
        <v>467</v>
      </c>
    </row>
    <row r="657" spans="1:16" ht="69.25" customHeight="1">
      <c r="A657" s="1" t="s">
        <v>50</v>
      </c>
      <c r="B657" s="1" t="s">
        <v>52</v>
      </c>
      <c r="C657" s="1">
        <v>2023</v>
      </c>
      <c r="D657" s="1" t="s">
        <v>24</v>
      </c>
      <c r="E657" s="1" t="s">
        <v>90</v>
      </c>
      <c r="F657" s="1" t="s">
        <v>91</v>
      </c>
      <c r="G657" s="1">
        <v>1</v>
      </c>
      <c r="H657" s="1" t="s">
        <v>429</v>
      </c>
      <c r="I657" s="1" t="s">
        <v>1563</v>
      </c>
      <c r="J657" s="1" t="s">
        <v>1559</v>
      </c>
      <c r="K657" s="1" t="s">
        <v>1083</v>
      </c>
      <c r="L657" s="1" t="s">
        <v>150</v>
      </c>
      <c r="M657" s="1" t="s">
        <v>51</v>
      </c>
      <c r="N657" s="1"/>
      <c r="O657" s="1">
        <f t="shared" si="10"/>
        <v>1</v>
      </c>
      <c r="P657" s="1" t="s">
        <v>526</v>
      </c>
    </row>
    <row r="658" spans="1:16" ht="69.25" customHeight="1">
      <c r="A658" s="1" t="s">
        <v>50</v>
      </c>
      <c r="B658" s="1" t="s">
        <v>52</v>
      </c>
      <c r="C658" s="1">
        <v>2023</v>
      </c>
      <c r="D658" s="1" t="s">
        <v>24</v>
      </c>
      <c r="E658" s="1" t="s">
        <v>94</v>
      </c>
      <c r="F658" s="1" t="s">
        <v>95</v>
      </c>
      <c r="G658" s="1">
        <v>0</v>
      </c>
      <c r="H658" s="1" t="s">
        <v>445</v>
      </c>
      <c r="I658" s="1" t="s">
        <v>1565</v>
      </c>
      <c r="J658" s="1" t="s">
        <v>1559</v>
      </c>
      <c r="K658" s="1" t="s">
        <v>1566</v>
      </c>
      <c r="L658" s="1" t="s">
        <v>150</v>
      </c>
      <c r="M658" s="1" t="s">
        <v>51</v>
      </c>
      <c r="N658" s="1"/>
      <c r="O658" s="1">
        <f t="shared" si="10"/>
        <v>0</v>
      </c>
      <c r="P658" s="1" t="s">
        <v>448</v>
      </c>
    </row>
    <row r="659" spans="1:16" ht="69.25" customHeight="1">
      <c r="A659" s="1" t="s">
        <v>50</v>
      </c>
      <c r="B659" s="1" t="s">
        <v>52</v>
      </c>
      <c r="C659" s="1">
        <v>2023</v>
      </c>
      <c r="D659" s="1" t="s">
        <v>24</v>
      </c>
      <c r="E659" s="1" t="s">
        <v>98</v>
      </c>
      <c r="F659" s="1" t="s">
        <v>99</v>
      </c>
      <c r="G659" s="1">
        <v>0</v>
      </c>
      <c r="H659" s="1" t="s">
        <v>445</v>
      </c>
      <c r="I659" s="1" t="s">
        <v>1567</v>
      </c>
      <c r="J659" s="1" t="s">
        <v>1559</v>
      </c>
      <c r="K659" s="1" t="s">
        <v>1568</v>
      </c>
      <c r="L659" s="1" t="s">
        <v>150</v>
      </c>
      <c r="M659" s="1" t="s">
        <v>51</v>
      </c>
      <c r="N659" s="1"/>
      <c r="O659" s="1">
        <f t="shared" si="10"/>
        <v>0</v>
      </c>
      <c r="P659" s="1" t="s">
        <v>448</v>
      </c>
    </row>
    <row r="660" spans="1:16" ht="69.25" customHeight="1">
      <c r="A660" s="1" t="s">
        <v>50</v>
      </c>
      <c r="B660" s="1" t="s">
        <v>52</v>
      </c>
      <c r="C660" s="1">
        <v>2023</v>
      </c>
      <c r="D660" s="1" t="s">
        <v>24</v>
      </c>
      <c r="E660" s="1" t="s">
        <v>102</v>
      </c>
      <c r="F660" s="1" t="s">
        <v>103</v>
      </c>
      <c r="G660" s="1">
        <v>0</v>
      </c>
      <c r="H660" s="1" t="s">
        <v>434</v>
      </c>
      <c r="I660" s="1" t="s">
        <v>1560</v>
      </c>
      <c r="J660" s="1" t="s">
        <v>1559</v>
      </c>
      <c r="K660" s="1" t="s">
        <v>1350</v>
      </c>
      <c r="L660" s="1" t="s">
        <v>150</v>
      </c>
      <c r="M660" s="1" t="s">
        <v>51</v>
      </c>
      <c r="N660" s="1"/>
      <c r="O660" s="1">
        <f t="shared" si="10"/>
        <v>0</v>
      </c>
      <c r="P660" s="1" t="s">
        <v>452</v>
      </c>
    </row>
    <row r="661" spans="1:16" ht="69.25" customHeight="1">
      <c r="A661" s="1" t="s">
        <v>50</v>
      </c>
      <c r="B661" s="1" t="s">
        <v>52</v>
      </c>
      <c r="C661" s="1">
        <v>2023</v>
      </c>
      <c r="D661" s="1" t="s">
        <v>24</v>
      </c>
      <c r="E661" s="1" t="s">
        <v>106</v>
      </c>
      <c r="F661" s="1" t="s">
        <v>107</v>
      </c>
      <c r="G661" s="1">
        <v>0</v>
      </c>
      <c r="H661" s="1" t="s">
        <v>434</v>
      </c>
      <c r="I661" s="1" t="s">
        <v>1569</v>
      </c>
      <c r="J661" s="1" t="s">
        <v>1559</v>
      </c>
      <c r="K661" s="1" t="s">
        <v>1570</v>
      </c>
      <c r="L661" s="1" t="s">
        <v>150</v>
      </c>
      <c r="M661" s="1" t="s">
        <v>51</v>
      </c>
      <c r="N661" s="1"/>
      <c r="O661" s="1">
        <f t="shared" si="10"/>
        <v>0</v>
      </c>
      <c r="P661" s="1" t="s">
        <v>454</v>
      </c>
    </row>
    <row r="662" spans="1:16" ht="69.25" customHeight="1">
      <c r="A662" s="1" t="s">
        <v>50</v>
      </c>
      <c r="B662" s="1" t="s">
        <v>52</v>
      </c>
      <c r="C662" s="1">
        <v>2024</v>
      </c>
      <c r="D662" s="1" t="s">
        <v>24</v>
      </c>
      <c r="E662" s="1" t="s">
        <v>70</v>
      </c>
      <c r="F662" s="1" t="s">
        <v>71</v>
      </c>
      <c r="G662" s="1">
        <v>1</v>
      </c>
      <c r="H662" s="1" t="s">
        <v>429</v>
      </c>
      <c r="I662" s="1" t="s">
        <v>1571</v>
      </c>
      <c r="J662" s="1" t="s">
        <v>1572</v>
      </c>
      <c r="K662" s="1" t="s">
        <v>1221</v>
      </c>
      <c r="L662" s="1" t="s">
        <v>150</v>
      </c>
      <c r="M662" s="1" t="s">
        <v>51</v>
      </c>
      <c r="N662" s="1"/>
      <c r="O662" s="1">
        <f t="shared" si="10"/>
        <v>1</v>
      </c>
      <c r="P662" s="1" t="s">
        <v>433</v>
      </c>
    </row>
    <row r="663" spans="1:16" ht="69.25" customHeight="1">
      <c r="A663" s="1" t="s">
        <v>50</v>
      </c>
      <c r="B663" s="1" t="s">
        <v>52</v>
      </c>
      <c r="C663" s="1">
        <v>2024</v>
      </c>
      <c r="D663" s="1" t="s">
        <v>24</v>
      </c>
      <c r="E663" s="1" t="s">
        <v>74</v>
      </c>
      <c r="F663" s="1" t="s">
        <v>75</v>
      </c>
      <c r="G663" s="1">
        <v>0</v>
      </c>
      <c r="H663" s="1" t="s">
        <v>434</v>
      </c>
      <c r="I663" s="1" t="s">
        <v>1573</v>
      </c>
      <c r="J663" s="1" t="s">
        <v>1572</v>
      </c>
      <c r="K663" s="1" t="s">
        <v>1574</v>
      </c>
      <c r="L663" s="1" t="s">
        <v>150</v>
      </c>
      <c r="M663" s="1" t="s">
        <v>51</v>
      </c>
      <c r="N663" s="1"/>
      <c r="O663" s="1">
        <f t="shared" si="10"/>
        <v>0</v>
      </c>
      <c r="P663" s="1" t="s">
        <v>437</v>
      </c>
    </row>
    <row r="664" spans="1:16" ht="69.25" customHeight="1">
      <c r="A664" s="1" t="s">
        <v>50</v>
      </c>
      <c r="B664" s="1" t="s">
        <v>52</v>
      </c>
      <c r="C664" s="1">
        <v>2024</v>
      </c>
      <c r="D664" s="1" t="s">
        <v>24</v>
      </c>
      <c r="E664" s="1" t="s">
        <v>78</v>
      </c>
      <c r="F664" s="1" t="s">
        <v>79</v>
      </c>
      <c r="G664" s="1">
        <v>1</v>
      </c>
      <c r="H664" s="1" t="s">
        <v>429</v>
      </c>
      <c r="I664" s="1" t="s">
        <v>1575</v>
      </c>
      <c r="J664" s="1" t="s">
        <v>1572</v>
      </c>
      <c r="K664" s="1" t="s">
        <v>923</v>
      </c>
      <c r="L664" s="1" t="s">
        <v>150</v>
      </c>
      <c r="M664" s="1" t="s">
        <v>51</v>
      </c>
      <c r="N664" s="1"/>
      <c r="O664" s="1">
        <f t="shared" si="10"/>
        <v>1</v>
      </c>
      <c r="P664" s="1" t="s">
        <v>915</v>
      </c>
    </row>
    <row r="665" spans="1:16" ht="69.25" customHeight="1">
      <c r="A665" s="1" t="s">
        <v>50</v>
      </c>
      <c r="B665" s="1" t="s">
        <v>52</v>
      </c>
      <c r="C665" s="1">
        <v>2024</v>
      </c>
      <c r="D665" s="1" t="s">
        <v>24</v>
      </c>
      <c r="E665" s="1" t="s">
        <v>82</v>
      </c>
      <c r="F665" s="1" t="s">
        <v>83</v>
      </c>
      <c r="G665" s="1">
        <v>1</v>
      </c>
      <c r="H665" s="1" t="s">
        <v>429</v>
      </c>
      <c r="I665" s="1" t="s">
        <v>1576</v>
      </c>
      <c r="J665" s="1" t="s">
        <v>1572</v>
      </c>
      <c r="K665" s="1" t="s">
        <v>1577</v>
      </c>
      <c r="L665" s="1" t="s">
        <v>150</v>
      </c>
      <c r="M665" s="1" t="s">
        <v>51</v>
      </c>
      <c r="N665" s="1"/>
      <c r="O665" s="1">
        <f t="shared" si="10"/>
        <v>1</v>
      </c>
      <c r="P665" s="1" t="s">
        <v>465</v>
      </c>
    </row>
    <row r="666" spans="1:16" ht="69.25" customHeight="1">
      <c r="A666" s="1" t="s">
        <v>50</v>
      </c>
      <c r="B666" s="1" t="s">
        <v>52</v>
      </c>
      <c r="C666" s="1">
        <v>2024</v>
      </c>
      <c r="D666" s="1" t="s">
        <v>24</v>
      </c>
      <c r="E666" s="1" t="s">
        <v>86</v>
      </c>
      <c r="F666" s="1" t="s">
        <v>87</v>
      </c>
      <c r="G666" s="1">
        <v>1</v>
      </c>
      <c r="H666" s="1" t="s">
        <v>429</v>
      </c>
      <c r="I666" s="1" t="s">
        <v>1578</v>
      </c>
      <c r="J666" s="1" t="s">
        <v>1572</v>
      </c>
      <c r="K666" s="1" t="s">
        <v>1178</v>
      </c>
      <c r="L666" s="1" t="s">
        <v>150</v>
      </c>
      <c r="M666" s="1" t="s">
        <v>51</v>
      </c>
      <c r="N666" s="1"/>
      <c r="O666" s="1">
        <f t="shared" si="10"/>
        <v>1</v>
      </c>
      <c r="P666" s="1" t="s">
        <v>467</v>
      </c>
    </row>
    <row r="667" spans="1:16" ht="69.25" customHeight="1">
      <c r="A667" s="1" t="s">
        <v>50</v>
      </c>
      <c r="B667" s="1" t="s">
        <v>52</v>
      </c>
      <c r="C667" s="1">
        <v>2024</v>
      </c>
      <c r="D667" s="1" t="s">
        <v>24</v>
      </c>
      <c r="E667" s="1" t="s">
        <v>90</v>
      </c>
      <c r="F667" s="1" t="s">
        <v>91</v>
      </c>
      <c r="G667" s="1">
        <v>0</v>
      </c>
      <c r="H667" s="1" t="s">
        <v>434</v>
      </c>
      <c r="I667" s="1" t="s">
        <v>1579</v>
      </c>
      <c r="J667" s="1" t="s">
        <v>1572</v>
      </c>
      <c r="K667" s="1" t="s">
        <v>1580</v>
      </c>
      <c r="L667" s="1" t="s">
        <v>150</v>
      </c>
      <c r="M667" s="1" t="s">
        <v>51</v>
      </c>
      <c r="N667" s="1"/>
      <c r="O667" s="1">
        <f t="shared" si="10"/>
        <v>0</v>
      </c>
      <c r="P667" s="1" t="s">
        <v>444</v>
      </c>
    </row>
    <row r="668" spans="1:16" ht="69.25" customHeight="1">
      <c r="A668" s="1" t="s">
        <v>50</v>
      </c>
      <c r="B668" s="1" t="s">
        <v>52</v>
      </c>
      <c r="C668" s="1">
        <v>2024</v>
      </c>
      <c r="D668" s="1" t="s">
        <v>24</v>
      </c>
      <c r="E668" s="1" t="s">
        <v>94</v>
      </c>
      <c r="F668" s="1" t="s">
        <v>95</v>
      </c>
      <c r="G668" s="1">
        <v>0</v>
      </c>
      <c r="H668" s="1" t="s">
        <v>445</v>
      </c>
      <c r="I668" s="1" t="s">
        <v>1581</v>
      </c>
      <c r="J668" s="1" t="s">
        <v>1572</v>
      </c>
      <c r="K668" s="1" t="s">
        <v>1504</v>
      </c>
      <c r="L668" s="1" t="s">
        <v>150</v>
      </c>
      <c r="M668" s="1" t="s">
        <v>51</v>
      </c>
      <c r="N668" s="1"/>
      <c r="O668" s="1">
        <f t="shared" si="10"/>
        <v>0</v>
      </c>
      <c r="P668" s="1" t="s">
        <v>448</v>
      </c>
    </row>
    <row r="669" spans="1:16" ht="69.25" customHeight="1">
      <c r="A669" s="1" t="s">
        <v>50</v>
      </c>
      <c r="B669" s="1" t="s">
        <v>52</v>
      </c>
      <c r="C669" s="1">
        <v>2024</v>
      </c>
      <c r="D669" s="1" t="s">
        <v>24</v>
      </c>
      <c r="E669" s="1" t="s">
        <v>98</v>
      </c>
      <c r="F669" s="1" t="s">
        <v>99</v>
      </c>
      <c r="G669" s="1">
        <v>0</v>
      </c>
      <c r="H669" s="1" t="s">
        <v>445</v>
      </c>
      <c r="I669" s="1" t="s">
        <v>1582</v>
      </c>
      <c r="J669" s="1" t="s">
        <v>1572</v>
      </c>
      <c r="K669" s="1" t="s">
        <v>474</v>
      </c>
      <c r="L669" s="1" t="s">
        <v>150</v>
      </c>
      <c r="M669" s="1" t="s">
        <v>51</v>
      </c>
      <c r="N669" s="1"/>
      <c r="O669" s="1">
        <f t="shared" si="10"/>
        <v>0</v>
      </c>
      <c r="P669" s="1" t="s">
        <v>448</v>
      </c>
    </row>
    <row r="670" spans="1:16" ht="69.25" customHeight="1">
      <c r="A670" s="1" t="s">
        <v>50</v>
      </c>
      <c r="B670" s="1" t="s">
        <v>52</v>
      </c>
      <c r="C670" s="1">
        <v>2024</v>
      </c>
      <c r="D670" s="1" t="s">
        <v>24</v>
      </c>
      <c r="E670" s="1" t="s">
        <v>102</v>
      </c>
      <c r="F670" s="1" t="s">
        <v>103</v>
      </c>
      <c r="G670" s="1">
        <v>0</v>
      </c>
      <c r="H670" s="1" t="s">
        <v>434</v>
      </c>
      <c r="I670" s="1" t="s">
        <v>1573</v>
      </c>
      <c r="J670" s="1" t="s">
        <v>1572</v>
      </c>
      <c r="K670" s="1" t="s">
        <v>1574</v>
      </c>
      <c r="L670" s="1" t="s">
        <v>150</v>
      </c>
      <c r="M670" s="1" t="s">
        <v>51</v>
      </c>
      <c r="N670" s="1"/>
      <c r="O670" s="1">
        <f t="shared" si="10"/>
        <v>0</v>
      </c>
      <c r="P670" s="1" t="s">
        <v>452</v>
      </c>
    </row>
    <row r="671" spans="1:16" ht="69.25" customHeight="1">
      <c r="A671" s="1" t="s">
        <v>50</v>
      </c>
      <c r="B671" s="1" t="s">
        <v>52</v>
      </c>
      <c r="C671" s="1">
        <v>2024</v>
      </c>
      <c r="D671" s="1" t="s">
        <v>24</v>
      </c>
      <c r="E671" s="1" t="s">
        <v>106</v>
      </c>
      <c r="F671" s="1" t="s">
        <v>107</v>
      </c>
      <c r="G671" s="1">
        <v>0</v>
      </c>
      <c r="H671" s="1" t="s">
        <v>434</v>
      </c>
      <c r="I671" s="1" t="s">
        <v>1583</v>
      </c>
      <c r="J671" s="1" t="s">
        <v>1572</v>
      </c>
      <c r="K671" s="1" t="s">
        <v>1584</v>
      </c>
      <c r="L671" s="1" t="s">
        <v>150</v>
      </c>
      <c r="M671" s="1" t="s">
        <v>51</v>
      </c>
      <c r="N671" s="1"/>
      <c r="O671" s="1">
        <f t="shared" si="10"/>
        <v>0</v>
      </c>
      <c r="P671" s="1" t="s">
        <v>454</v>
      </c>
    </row>
    <row r="672" spans="1:16" ht="69.25" customHeight="1">
      <c r="A672" s="1" t="s">
        <v>50</v>
      </c>
      <c r="B672" s="1" t="s">
        <v>52</v>
      </c>
      <c r="C672" s="1">
        <v>2025</v>
      </c>
      <c r="D672" s="1" t="s">
        <v>24</v>
      </c>
      <c r="E672" s="1" t="s">
        <v>70</v>
      </c>
      <c r="F672" s="1" t="s">
        <v>71</v>
      </c>
      <c r="G672" s="1">
        <v>0</v>
      </c>
      <c r="H672" s="1" t="s">
        <v>434</v>
      </c>
      <c r="I672" s="1" t="s">
        <v>1585</v>
      </c>
      <c r="J672" s="1" t="s">
        <v>1586</v>
      </c>
      <c r="K672" s="1" t="s">
        <v>1587</v>
      </c>
      <c r="L672" s="1" t="s">
        <v>150</v>
      </c>
      <c r="M672" s="1" t="s">
        <v>51</v>
      </c>
      <c r="N672" s="1"/>
      <c r="O672" s="1">
        <f t="shared" si="10"/>
        <v>0</v>
      </c>
      <c r="P672" s="1" t="s">
        <v>700</v>
      </c>
    </row>
    <row r="673" spans="1:16" ht="69.25" customHeight="1">
      <c r="A673" s="1" t="s">
        <v>50</v>
      </c>
      <c r="B673" s="1" t="s">
        <v>52</v>
      </c>
      <c r="C673" s="1">
        <v>2025</v>
      </c>
      <c r="D673" s="1" t="s">
        <v>24</v>
      </c>
      <c r="E673" s="1" t="s">
        <v>74</v>
      </c>
      <c r="F673" s="1" t="s">
        <v>75</v>
      </c>
      <c r="G673" s="1">
        <v>0</v>
      </c>
      <c r="H673" s="1" t="s">
        <v>434</v>
      </c>
      <c r="I673" s="1" t="s">
        <v>1588</v>
      </c>
      <c r="J673" s="1" t="s">
        <v>1586</v>
      </c>
      <c r="K673" s="1" t="s">
        <v>1589</v>
      </c>
      <c r="L673" s="1" t="s">
        <v>150</v>
      </c>
      <c r="M673" s="1" t="s">
        <v>51</v>
      </c>
      <c r="N673" s="1"/>
      <c r="O673" s="1">
        <f t="shared" si="10"/>
        <v>0</v>
      </c>
      <c r="P673" s="1" t="s">
        <v>437</v>
      </c>
    </row>
    <row r="674" spans="1:16" ht="69.25" customHeight="1">
      <c r="A674" s="1" t="s">
        <v>50</v>
      </c>
      <c r="B674" s="1" t="s">
        <v>52</v>
      </c>
      <c r="C674" s="1">
        <v>2025</v>
      </c>
      <c r="D674" s="1" t="s">
        <v>24</v>
      </c>
      <c r="E674" s="1" t="s">
        <v>78</v>
      </c>
      <c r="F674" s="1" t="s">
        <v>79</v>
      </c>
      <c r="G674" s="1">
        <v>1</v>
      </c>
      <c r="H674" s="1" t="s">
        <v>429</v>
      </c>
      <c r="I674" s="1" t="s">
        <v>1590</v>
      </c>
      <c r="J674" s="1" t="s">
        <v>1586</v>
      </c>
      <c r="K674" s="1" t="s">
        <v>1442</v>
      </c>
      <c r="L674" s="1" t="s">
        <v>150</v>
      </c>
      <c r="M674" s="1" t="s">
        <v>51</v>
      </c>
      <c r="N674" s="1"/>
      <c r="O674" s="1">
        <f t="shared" si="10"/>
        <v>1</v>
      </c>
      <c r="P674" s="1" t="s">
        <v>915</v>
      </c>
    </row>
    <row r="675" spans="1:16" ht="69.25" customHeight="1">
      <c r="A675" s="1" t="s">
        <v>50</v>
      </c>
      <c r="B675" s="1" t="s">
        <v>52</v>
      </c>
      <c r="C675" s="1">
        <v>2025</v>
      </c>
      <c r="D675" s="1" t="s">
        <v>24</v>
      </c>
      <c r="E675" s="1" t="s">
        <v>82</v>
      </c>
      <c r="F675" s="1" t="s">
        <v>83</v>
      </c>
      <c r="G675" s="1">
        <v>1</v>
      </c>
      <c r="H675" s="1" t="s">
        <v>429</v>
      </c>
      <c r="I675" s="1" t="s">
        <v>1591</v>
      </c>
      <c r="J675" s="1" t="s">
        <v>1586</v>
      </c>
      <c r="K675" s="1" t="s">
        <v>923</v>
      </c>
      <c r="L675" s="1" t="s">
        <v>150</v>
      </c>
      <c r="M675" s="1" t="s">
        <v>51</v>
      </c>
      <c r="N675" s="1"/>
      <c r="O675" s="1">
        <f t="shared" si="10"/>
        <v>1</v>
      </c>
      <c r="P675" s="1" t="s">
        <v>465</v>
      </c>
    </row>
    <row r="676" spans="1:16" ht="69.25" customHeight="1">
      <c r="A676" s="1" t="s">
        <v>50</v>
      </c>
      <c r="B676" s="1" t="s">
        <v>52</v>
      </c>
      <c r="C676" s="1">
        <v>2025</v>
      </c>
      <c r="D676" s="1" t="s">
        <v>24</v>
      </c>
      <c r="E676" s="1" t="s">
        <v>86</v>
      </c>
      <c r="F676" s="1" t="s">
        <v>87</v>
      </c>
      <c r="G676" s="1">
        <v>1</v>
      </c>
      <c r="H676" s="1" t="s">
        <v>429</v>
      </c>
      <c r="I676" s="1" t="s">
        <v>1592</v>
      </c>
      <c r="J676" s="1" t="s">
        <v>1586</v>
      </c>
      <c r="K676" s="1" t="s">
        <v>1593</v>
      </c>
      <c r="L676" s="1" t="s">
        <v>150</v>
      </c>
      <c r="M676" s="1" t="s">
        <v>51</v>
      </c>
      <c r="N676" s="1"/>
      <c r="O676" s="1">
        <f t="shared" si="10"/>
        <v>1</v>
      </c>
      <c r="P676" s="1" t="s">
        <v>467</v>
      </c>
    </row>
    <row r="677" spans="1:16" ht="69.25" customHeight="1">
      <c r="A677" s="1" t="s">
        <v>50</v>
      </c>
      <c r="B677" s="1" t="s">
        <v>52</v>
      </c>
      <c r="C677" s="1">
        <v>2025</v>
      </c>
      <c r="D677" s="1" t="s">
        <v>24</v>
      </c>
      <c r="E677" s="1" t="s">
        <v>90</v>
      </c>
      <c r="F677" s="1" t="s">
        <v>91</v>
      </c>
      <c r="G677" s="1">
        <v>1</v>
      </c>
      <c r="H677" s="1" t="s">
        <v>429</v>
      </c>
      <c r="I677" s="1" t="s">
        <v>1591</v>
      </c>
      <c r="J677" s="1" t="s">
        <v>1586</v>
      </c>
      <c r="K677" s="1" t="s">
        <v>923</v>
      </c>
      <c r="L677" s="1" t="s">
        <v>150</v>
      </c>
      <c r="M677" s="1" t="s">
        <v>51</v>
      </c>
      <c r="N677" s="1"/>
      <c r="O677" s="1">
        <f t="shared" si="10"/>
        <v>1</v>
      </c>
      <c r="P677" s="1" t="s">
        <v>526</v>
      </c>
    </row>
    <row r="678" spans="1:16" ht="69.25" customHeight="1">
      <c r="A678" s="1" t="s">
        <v>50</v>
      </c>
      <c r="B678" s="1" t="s">
        <v>52</v>
      </c>
      <c r="C678" s="1">
        <v>2025</v>
      </c>
      <c r="D678" s="1" t="s">
        <v>24</v>
      </c>
      <c r="E678" s="1" t="s">
        <v>94</v>
      </c>
      <c r="F678" s="1" t="s">
        <v>95</v>
      </c>
      <c r="G678" s="1">
        <v>0</v>
      </c>
      <c r="H678" s="1" t="s">
        <v>445</v>
      </c>
      <c r="I678" s="1" t="s">
        <v>1594</v>
      </c>
      <c r="J678" s="1" t="s">
        <v>1586</v>
      </c>
      <c r="K678" s="1" t="s">
        <v>1414</v>
      </c>
      <c r="L678" s="1" t="s">
        <v>150</v>
      </c>
      <c r="M678" s="1" t="s">
        <v>51</v>
      </c>
      <c r="N678" s="1"/>
      <c r="O678" s="1">
        <f t="shared" si="10"/>
        <v>0</v>
      </c>
      <c r="P678" s="1" t="s">
        <v>448</v>
      </c>
    </row>
    <row r="679" spans="1:16" ht="69.25" customHeight="1">
      <c r="A679" s="1" t="s">
        <v>50</v>
      </c>
      <c r="B679" s="1" t="s">
        <v>52</v>
      </c>
      <c r="C679" s="1">
        <v>2025</v>
      </c>
      <c r="D679" s="1" t="s">
        <v>24</v>
      </c>
      <c r="E679" s="1" t="s">
        <v>98</v>
      </c>
      <c r="F679" s="1" t="s">
        <v>99</v>
      </c>
      <c r="G679" s="1">
        <v>0</v>
      </c>
      <c r="H679" s="1" t="s">
        <v>445</v>
      </c>
      <c r="I679" s="1" t="s">
        <v>1595</v>
      </c>
      <c r="J679" s="1" t="s">
        <v>1586</v>
      </c>
      <c r="K679" s="1" t="s">
        <v>518</v>
      </c>
      <c r="L679" s="1" t="s">
        <v>150</v>
      </c>
      <c r="M679" s="1" t="s">
        <v>51</v>
      </c>
      <c r="N679" s="1"/>
      <c r="O679" s="1">
        <f t="shared" si="10"/>
        <v>0</v>
      </c>
      <c r="P679" s="1" t="s">
        <v>448</v>
      </c>
    </row>
    <row r="680" spans="1:16" ht="69.25" customHeight="1">
      <c r="A680" s="1" t="s">
        <v>50</v>
      </c>
      <c r="B680" s="1" t="s">
        <v>52</v>
      </c>
      <c r="C680" s="1">
        <v>2025</v>
      </c>
      <c r="D680" s="1" t="s">
        <v>24</v>
      </c>
      <c r="E680" s="1" t="s">
        <v>102</v>
      </c>
      <c r="F680" s="1" t="s">
        <v>103</v>
      </c>
      <c r="G680" s="1">
        <v>0</v>
      </c>
      <c r="H680" s="1" t="s">
        <v>434</v>
      </c>
      <c r="I680" s="1" t="s">
        <v>1588</v>
      </c>
      <c r="J680" s="1" t="s">
        <v>1586</v>
      </c>
      <c r="K680" s="1" t="s">
        <v>1589</v>
      </c>
      <c r="L680" s="1" t="s">
        <v>150</v>
      </c>
      <c r="M680" s="1" t="s">
        <v>51</v>
      </c>
      <c r="N680" s="1"/>
      <c r="O680" s="1">
        <f t="shared" si="10"/>
        <v>0</v>
      </c>
      <c r="P680" s="1" t="s">
        <v>452</v>
      </c>
    </row>
    <row r="681" spans="1:16" ht="69.25" customHeight="1">
      <c r="A681" s="1" t="s">
        <v>50</v>
      </c>
      <c r="B681" s="1" t="s">
        <v>52</v>
      </c>
      <c r="C681" s="1">
        <v>2025</v>
      </c>
      <c r="D681" s="1" t="s">
        <v>24</v>
      </c>
      <c r="E681" s="1" t="s">
        <v>106</v>
      </c>
      <c r="F681" s="1" t="s">
        <v>107</v>
      </c>
      <c r="G681" s="1">
        <v>0</v>
      </c>
      <c r="H681" s="1" t="s">
        <v>434</v>
      </c>
      <c r="I681" s="1" t="s">
        <v>1596</v>
      </c>
      <c r="J681" s="1" t="s">
        <v>1586</v>
      </c>
      <c r="K681" s="1" t="s">
        <v>1597</v>
      </c>
      <c r="L681" s="1" t="s">
        <v>150</v>
      </c>
      <c r="M681" s="1" t="s">
        <v>51</v>
      </c>
      <c r="N681" s="1"/>
      <c r="O681" s="1">
        <f t="shared" si="10"/>
        <v>0</v>
      </c>
      <c r="P681" s="1" t="s">
        <v>454</v>
      </c>
    </row>
    <row r="682" spans="1:16" ht="69.25" customHeight="1">
      <c r="A682" s="1" t="s">
        <v>50</v>
      </c>
      <c r="B682" s="1" t="s">
        <v>55</v>
      </c>
      <c r="C682" s="1">
        <v>2022</v>
      </c>
      <c r="D682" s="1" t="s">
        <v>57</v>
      </c>
      <c r="E682" s="1" t="s">
        <v>70</v>
      </c>
      <c r="F682" s="1" t="s">
        <v>71</v>
      </c>
      <c r="G682" s="1">
        <v>0</v>
      </c>
      <c r="H682" s="1" t="s">
        <v>434</v>
      </c>
      <c r="I682" s="1" t="s">
        <v>1598</v>
      </c>
      <c r="J682" s="1" t="s">
        <v>1599</v>
      </c>
      <c r="K682" s="1" t="s">
        <v>841</v>
      </c>
      <c r="L682" s="1" t="s">
        <v>152</v>
      </c>
      <c r="M682" s="1" t="s">
        <v>51</v>
      </c>
      <c r="N682" s="1"/>
      <c r="O682" s="1">
        <f t="shared" si="10"/>
        <v>0</v>
      </c>
      <c r="P682" s="1" t="s">
        <v>700</v>
      </c>
    </row>
    <row r="683" spans="1:16" ht="69.25" customHeight="1">
      <c r="A683" s="1" t="s">
        <v>50</v>
      </c>
      <c r="B683" s="1" t="s">
        <v>55</v>
      </c>
      <c r="C683" s="1">
        <v>2022</v>
      </c>
      <c r="D683" s="1" t="s">
        <v>57</v>
      </c>
      <c r="E683" s="1" t="s">
        <v>74</v>
      </c>
      <c r="F683" s="1" t="s">
        <v>75</v>
      </c>
      <c r="G683" s="1">
        <v>0</v>
      </c>
      <c r="H683" s="1" t="s">
        <v>445</v>
      </c>
      <c r="I683" s="1" t="s">
        <v>1600</v>
      </c>
      <c r="J683" s="1" t="s">
        <v>1599</v>
      </c>
      <c r="K683" s="1" t="s">
        <v>608</v>
      </c>
      <c r="L683" s="1" t="s">
        <v>152</v>
      </c>
      <c r="M683" s="1" t="s">
        <v>51</v>
      </c>
      <c r="N683" s="1"/>
      <c r="O683" s="1">
        <f t="shared" si="10"/>
        <v>0</v>
      </c>
      <c r="P683" s="1" t="s">
        <v>448</v>
      </c>
    </row>
    <row r="684" spans="1:16" ht="69.25" customHeight="1">
      <c r="A684" s="1" t="s">
        <v>50</v>
      </c>
      <c r="B684" s="1" t="s">
        <v>55</v>
      </c>
      <c r="C684" s="1">
        <v>2022</v>
      </c>
      <c r="D684" s="1" t="s">
        <v>57</v>
      </c>
      <c r="E684" s="1" t="s">
        <v>78</v>
      </c>
      <c r="F684" s="1" t="s">
        <v>79</v>
      </c>
      <c r="G684" s="1">
        <v>1</v>
      </c>
      <c r="H684" s="1" t="s">
        <v>429</v>
      </c>
      <c r="I684" s="1" t="s">
        <v>1601</v>
      </c>
      <c r="J684" s="1" t="s">
        <v>1599</v>
      </c>
      <c r="K684" s="1" t="s">
        <v>1459</v>
      </c>
      <c r="L684" s="1" t="s">
        <v>152</v>
      </c>
      <c r="M684" s="1" t="s">
        <v>51</v>
      </c>
      <c r="N684" s="1"/>
      <c r="O684" s="1">
        <f t="shared" si="10"/>
        <v>1</v>
      </c>
      <c r="P684" s="1" t="s">
        <v>915</v>
      </c>
    </row>
    <row r="685" spans="1:16" ht="69.25" customHeight="1">
      <c r="A685" s="1" t="s">
        <v>50</v>
      </c>
      <c r="B685" s="1" t="s">
        <v>55</v>
      </c>
      <c r="C685" s="1">
        <v>2022</v>
      </c>
      <c r="D685" s="1" t="s">
        <v>57</v>
      </c>
      <c r="E685" s="1" t="s">
        <v>82</v>
      </c>
      <c r="F685" s="1" t="s">
        <v>83</v>
      </c>
      <c r="G685" s="1">
        <v>1</v>
      </c>
      <c r="H685" s="1" t="s">
        <v>429</v>
      </c>
      <c r="I685" s="1" t="s">
        <v>1602</v>
      </c>
      <c r="J685" s="1" t="s">
        <v>1599</v>
      </c>
      <c r="K685" s="1" t="s">
        <v>1603</v>
      </c>
      <c r="L685" s="1" t="s">
        <v>152</v>
      </c>
      <c r="M685" s="1" t="s">
        <v>51</v>
      </c>
      <c r="N685" s="1"/>
      <c r="O685" s="1">
        <f t="shared" si="10"/>
        <v>1</v>
      </c>
      <c r="P685" s="1" t="s">
        <v>465</v>
      </c>
    </row>
    <row r="686" spans="1:16" ht="69.25" customHeight="1">
      <c r="A686" s="1" t="s">
        <v>50</v>
      </c>
      <c r="B686" s="1" t="s">
        <v>55</v>
      </c>
      <c r="C686" s="1">
        <v>2022</v>
      </c>
      <c r="D686" s="1" t="s">
        <v>57</v>
      </c>
      <c r="E686" s="1" t="s">
        <v>86</v>
      </c>
      <c r="F686" s="1" t="s">
        <v>87</v>
      </c>
      <c r="G686" s="1">
        <v>1</v>
      </c>
      <c r="H686" s="1" t="s">
        <v>429</v>
      </c>
      <c r="I686" s="1" t="s">
        <v>1604</v>
      </c>
      <c r="J686" s="1" t="s">
        <v>1599</v>
      </c>
      <c r="K686" s="1" t="s">
        <v>1603</v>
      </c>
      <c r="L686" s="1" t="s">
        <v>152</v>
      </c>
      <c r="M686" s="1" t="s">
        <v>51</v>
      </c>
      <c r="N686" s="1"/>
      <c r="O686" s="1">
        <f t="shared" si="10"/>
        <v>1</v>
      </c>
      <c r="P686" s="1" t="s">
        <v>467</v>
      </c>
    </row>
    <row r="687" spans="1:16" ht="69.25" customHeight="1">
      <c r="A687" s="1" t="s">
        <v>50</v>
      </c>
      <c r="B687" s="1" t="s">
        <v>55</v>
      </c>
      <c r="C687" s="1">
        <v>2022</v>
      </c>
      <c r="D687" s="1" t="s">
        <v>57</v>
      </c>
      <c r="E687" s="1" t="s">
        <v>90</v>
      </c>
      <c r="F687" s="1" t="s">
        <v>91</v>
      </c>
      <c r="G687" s="1">
        <v>0</v>
      </c>
      <c r="H687" s="1" t="s">
        <v>445</v>
      </c>
      <c r="I687" s="1" t="s">
        <v>1602</v>
      </c>
      <c r="J687" s="1" t="s">
        <v>1599</v>
      </c>
      <c r="K687" s="1" t="s">
        <v>1603</v>
      </c>
      <c r="L687" s="1" t="s">
        <v>152</v>
      </c>
      <c r="M687" s="1" t="s">
        <v>51</v>
      </c>
      <c r="N687" s="1"/>
      <c r="O687" s="1">
        <f t="shared" si="10"/>
        <v>0</v>
      </c>
      <c r="P687" s="1" t="s">
        <v>448</v>
      </c>
    </row>
    <row r="688" spans="1:16" ht="69.25" customHeight="1">
      <c r="A688" s="1" t="s">
        <v>50</v>
      </c>
      <c r="B688" s="1" t="s">
        <v>55</v>
      </c>
      <c r="C688" s="1">
        <v>2022</v>
      </c>
      <c r="D688" s="1" t="s">
        <v>57</v>
      </c>
      <c r="E688" s="1" t="s">
        <v>94</v>
      </c>
      <c r="F688" s="1" t="s">
        <v>95</v>
      </c>
      <c r="G688" s="1">
        <v>0</v>
      </c>
      <c r="H688" s="1" t="s">
        <v>445</v>
      </c>
      <c r="I688" s="1" t="s">
        <v>1605</v>
      </c>
      <c r="J688" s="1" t="s">
        <v>1599</v>
      </c>
      <c r="K688" s="1" t="s">
        <v>1606</v>
      </c>
      <c r="L688" s="1" t="s">
        <v>152</v>
      </c>
      <c r="M688" s="1" t="s">
        <v>51</v>
      </c>
      <c r="N688" s="1"/>
      <c r="O688" s="1">
        <f t="shared" si="10"/>
        <v>0</v>
      </c>
      <c r="P688" s="1" t="s">
        <v>448</v>
      </c>
    </row>
    <row r="689" spans="1:16" ht="69.25" customHeight="1">
      <c r="A689" s="1" t="s">
        <v>50</v>
      </c>
      <c r="B689" s="1" t="s">
        <v>55</v>
      </c>
      <c r="C689" s="1">
        <v>2022</v>
      </c>
      <c r="D689" s="1" t="s">
        <v>57</v>
      </c>
      <c r="E689" s="1" t="s">
        <v>98</v>
      </c>
      <c r="F689" s="1" t="s">
        <v>99</v>
      </c>
      <c r="G689" s="1">
        <v>0</v>
      </c>
      <c r="H689" s="1" t="s">
        <v>434</v>
      </c>
      <c r="I689" s="1" t="s">
        <v>1607</v>
      </c>
      <c r="J689" s="1" t="s">
        <v>1599</v>
      </c>
      <c r="K689" s="1" t="s">
        <v>788</v>
      </c>
      <c r="L689" s="1" t="s">
        <v>152</v>
      </c>
      <c r="M689" s="1" t="s">
        <v>51</v>
      </c>
      <c r="N689" s="1"/>
      <c r="O689" s="1">
        <f t="shared" si="10"/>
        <v>0</v>
      </c>
      <c r="P689" s="1" t="s">
        <v>472</v>
      </c>
    </row>
    <row r="690" spans="1:16" ht="69.25" customHeight="1">
      <c r="A690" s="1" t="s">
        <v>50</v>
      </c>
      <c r="B690" s="1" t="s">
        <v>55</v>
      </c>
      <c r="C690" s="1">
        <v>2022</v>
      </c>
      <c r="D690" s="1" t="s">
        <v>57</v>
      </c>
      <c r="E690" s="1" t="s">
        <v>102</v>
      </c>
      <c r="F690" s="1" t="s">
        <v>103</v>
      </c>
      <c r="G690" s="1">
        <v>1</v>
      </c>
      <c r="H690" s="1" t="s">
        <v>429</v>
      </c>
      <c r="I690" s="1" t="s">
        <v>1608</v>
      </c>
      <c r="J690" s="1" t="s">
        <v>1599</v>
      </c>
      <c r="K690" s="1" t="s">
        <v>608</v>
      </c>
      <c r="L690" s="1" t="s">
        <v>152</v>
      </c>
      <c r="M690" s="1" t="s">
        <v>51</v>
      </c>
      <c r="N690" s="1"/>
      <c r="O690" s="1">
        <f t="shared" si="10"/>
        <v>1</v>
      </c>
      <c r="P690" s="1" t="s">
        <v>475</v>
      </c>
    </row>
    <row r="691" spans="1:16" ht="69.25" customHeight="1">
      <c r="A691" s="1" t="s">
        <v>50</v>
      </c>
      <c r="B691" s="1" t="s">
        <v>55</v>
      </c>
      <c r="C691" s="1">
        <v>2022</v>
      </c>
      <c r="D691" s="1" t="s">
        <v>57</v>
      </c>
      <c r="E691" s="1" t="s">
        <v>106</v>
      </c>
      <c r="F691" s="1" t="s">
        <v>107</v>
      </c>
      <c r="G691" s="1">
        <v>1</v>
      </c>
      <c r="H691" s="1" t="s">
        <v>429</v>
      </c>
      <c r="I691" s="1" t="s">
        <v>1609</v>
      </c>
      <c r="J691" s="1" t="s">
        <v>1599</v>
      </c>
      <c r="K691" s="1" t="s">
        <v>1603</v>
      </c>
      <c r="L691" s="1" t="s">
        <v>152</v>
      </c>
      <c r="M691" s="1" t="s">
        <v>51</v>
      </c>
      <c r="N691" s="1"/>
      <c r="O691" s="1">
        <f t="shared" si="10"/>
        <v>1</v>
      </c>
      <c r="P691" s="1" t="s">
        <v>1246</v>
      </c>
    </row>
    <row r="692" spans="1:16" ht="69.25" customHeight="1">
      <c r="A692" s="1" t="s">
        <v>50</v>
      </c>
      <c r="B692" s="1" t="s">
        <v>55</v>
      </c>
      <c r="C692" s="1">
        <v>2023</v>
      </c>
      <c r="D692" s="1" t="s">
        <v>57</v>
      </c>
      <c r="E692" s="1" t="s">
        <v>70</v>
      </c>
      <c r="F692" s="1" t="s">
        <v>71</v>
      </c>
      <c r="G692" s="1">
        <v>1</v>
      </c>
      <c r="H692" s="1" t="s">
        <v>429</v>
      </c>
      <c r="I692" s="1" t="s">
        <v>1610</v>
      </c>
      <c r="J692" s="1" t="s">
        <v>1611</v>
      </c>
      <c r="K692" s="1" t="s">
        <v>1612</v>
      </c>
      <c r="L692" s="1" t="s">
        <v>152</v>
      </c>
      <c r="M692" s="1" t="s">
        <v>51</v>
      </c>
      <c r="N692" s="1"/>
      <c r="O692" s="1">
        <f t="shared" si="10"/>
        <v>1</v>
      </c>
      <c r="P692" s="1" t="s">
        <v>433</v>
      </c>
    </row>
    <row r="693" spans="1:16" ht="69.25" customHeight="1">
      <c r="A693" s="1" t="s">
        <v>50</v>
      </c>
      <c r="B693" s="1" t="s">
        <v>55</v>
      </c>
      <c r="C693" s="1">
        <v>2023</v>
      </c>
      <c r="D693" s="1" t="s">
        <v>57</v>
      </c>
      <c r="E693" s="1" t="s">
        <v>74</v>
      </c>
      <c r="F693" s="1" t="s">
        <v>75</v>
      </c>
      <c r="G693" s="1">
        <v>1</v>
      </c>
      <c r="H693" s="1" t="s">
        <v>429</v>
      </c>
      <c r="I693" s="1" t="s">
        <v>1613</v>
      </c>
      <c r="J693" s="1" t="s">
        <v>1611</v>
      </c>
      <c r="K693" s="1" t="s">
        <v>982</v>
      </c>
      <c r="L693" s="1" t="s">
        <v>152</v>
      </c>
      <c r="M693" s="1" t="s">
        <v>51</v>
      </c>
      <c r="N693" s="1"/>
      <c r="O693" s="1">
        <f t="shared" si="10"/>
        <v>1</v>
      </c>
      <c r="P693" s="1" t="s">
        <v>460</v>
      </c>
    </row>
    <row r="694" spans="1:16" ht="69.25" customHeight="1">
      <c r="A694" s="1" t="s">
        <v>50</v>
      </c>
      <c r="B694" s="1" t="s">
        <v>55</v>
      </c>
      <c r="C694" s="1">
        <v>2023</v>
      </c>
      <c r="D694" s="1" t="s">
        <v>57</v>
      </c>
      <c r="E694" s="1" t="s">
        <v>78</v>
      </c>
      <c r="F694" s="1" t="s">
        <v>79</v>
      </c>
      <c r="G694" s="1">
        <v>1</v>
      </c>
      <c r="H694" s="1" t="s">
        <v>429</v>
      </c>
      <c r="I694" s="1" t="s">
        <v>1614</v>
      </c>
      <c r="J694" s="1" t="s">
        <v>1611</v>
      </c>
      <c r="K694" s="1" t="s">
        <v>982</v>
      </c>
      <c r="L694" s="1" t="s">
        <v>152</v>
      </c>
      <c r="M694" s="1" t="s">
        <v>51</v>
      </c>
      <c r="N694" s="1"/>
      <c r="O694" s="1">
        <f t="shared" si="10"/>
        <v>1</v>
      </c>
      <c r="P694" s="1" t="s">
        <v>915</v>
      </c>
    </row>
    <row r="695" spans="1:16" ht="69.25" customHeight="1">
      <c r="A695" s="1" t="s">
        <v>50</v>
      </c>
      <c r="B695" s="1" t="s">
        <v>55</v>
      </c>
      <c r="C695" s="1">
        <v>2023</v>
      </c>
      <c r="D695" s="1" t="s">
        <v>57</v>
      </c>
      <c r="E695" s="1" t="s">
        <v>82</v>
      </c>
      <c r="F695" s="1" t="s">
        <v>83</v>
      </c>
      <c r="G695" s="1">
        <v>0</v>
      </c>
      <c r="H695" s="1" t="s">
        <v>445</v>
      </c>
      <c r="I695" s="1" t="s">
        <v>1615</v>
      </c>
      <c r="J695" s="1" t="s">
        <v>1611</v>
      </c>
      <c r="K695" s="1" t="s">
        <v>918</v>
      </c>
      <c r="L695" s="1" t="s">
        <v>152</v>
      </c>
      <c r="M695" s="1" t="s">
        <v>51</v>
      </c>
      <c r="N695" s="1"/>
      <c r="O695" s="1">
        <f t="shared" si="10"/>
        <v>0</v>
      </c>
      <c r="P695" s="1" t="s">
        <v>448</v>
      </c>
    </row>
    <row r="696" spans="1:16" ht="69.25" customHeight="1">
      <c r="A696" s="1" t="s">
        <v>50</v>
      </c>
      <c r="B696" s="1" t="s">
        <v>55</v>
      </c>
      <c r="C696" s="1">
        <v>2023</v>
      </c>
      <c r="D696" s="1" t="s">
        <v>57</v>
      </c>
      <c r="E696" s="1" t="s">
        <v>86</v>
      </c>
      <c r="F696" s="1" t="s">
        <v>87</v>
      </c>
      <c r="G696" s="1">
        <v>1</v>
      </c>
      <c r="H696" s="1" t="s">
        <v>429</v>
      </c>
      <c r="I696" s="1" t="s">
        <v>1616</v>
      </c>
      <c r="J696" s="1" t="s">
        <v>1611</v>
      </c>
      <c r="K696" s="1" t="s">
        <v>918</v>
      </c>
      <c r="L696" s="1" t="s">
        <v>152</v>
      </c>
      <c r="M696" s="1" t="s">
        <v>51</v>
      </c>
      <c r="N696" s="1"/>
      <c r="O696" s="1">
        <f t="shared" si="10"/>
        <v>1</v>
      </c>
      <c r="P696" s="1" t="s">
        <v>467</v>
      </c>
    </row>
    <row r="697" spans="1:16" ht="69.25" customHeight="1">
      <c r="A697" s="1" t="s">
        <v>50</v>
      </c>
      <c r="B697" s="1" t="s">
        <v>55</v>
      </c>
      <c r="C697" s="1">
        <v>2023</v>
      </c>
      <c r="D697" s="1" t="s">
        <v>57</v>
      </c>
      <c r="E697" s="1" t="s">
        <v>90</v>
      </c>
      <c r="F697" s="1" t="s">
        <v>91</v>
      </c>
      <c r="G697" s="1">
        <v>1</v>
      </c>
      <c r="H697" s="1" t="s">
        <v>429</v>
      </c>
      <c r="I697" s="1" t="s">
        <v>1615</v>
      </c>
      <c r="J697" s="1" t="s">
        <v>1611</v>
      </c>
      <c r="K697" s="1" t="s">
        <v>918</v>
      </c>
      <c r="L697" s="1" t="s">
        <v>152</v>
      </c>
      <c r="M697" s="1" t="s">
        <v>51</v>
      </c>
      <c r="N697" s="1"/>
      <c r="O697" s="1">
        <f t="shared" si="10"/>
        <v>1</v>
      </c>
      <c r="P697" s="1" t="s">
        <v>526</v>
      </c>
    </row>
    <row r="698" spans="1:16" ht="69.25" customHeight="1">
      <c r="A698" s="1" t="s">
        <v>50</v>
      </c>
      <c r="B698" s="1" t="s">
        <v>55</v>
      </c>
      <c r="C698" s="1">
        <v>2023</v>
      </c>
      <c r="D698" s="1" t="s">
        <v>57</v>
      </c>
      <c r="E698" s="1" t="s">
        <v>94</v>
      </c>
      <c r="F698" s="1" t="s">
        <v>95</v>
      </c>
      <c r="G698" s="1">
        <v>0</v>
      </c>
      <c r="H698" s="1" t="s">
        <v>445</v>
      </c>
      <c r="I698" s="1" t="s">
        <v>1617</v>
      </c>
      <c r="J698" s="1" t="s">
        <v>1611</v>
      </c>
      <c r="K698" s="1" t="s">
        <v>1618</v>
      </c>
      <c r="L698" s="1" t="s">
        <v>152</v>
      </c>
      <c r="M698" s="1" t="s">
        <v>51</v>
      </c>
      <c r="N698" s="1"/>
      <c r="O698" s="1">
        <f t="shared" si="10"/>
        <v>0</v>
      </c>
      <c r="P698" s="1" t="s">
        <v>448</v>
      </c>
    </row>
    <row r="699" spans="1:16" ht="69.25" customHeight="1">
      <c r="A699" s="1" t="s">
        <v>50</v>
      </c>
      <c r="B699" s="1" t="s">
        <v>55</v>
      </c>
      <c r="C699" s="1">
        <v>2023</v>
      </c>
      <c r="D699" s="1" t="s">
        <v>57</v>
      </c>
      <c r="E699" s="1" t="s">
        <v>98</v>
      </c>
      <c r="F699" s="1" t="s">
        <v>99</v>
      </c>
      <c r="G699" s="1">
        <v>0</v>
      </c>
      <c r="H699" s="1" t="s">
        <v>445</v>
      </c>
      <c r="I699" s="1" t="s">
        <v>1619</v>
      </c>
      <c r="J699" s="1" t="s">
        <v>1611</v>
      </c>
      <c r="K699" s="1" t="s">
        <v>769</v>
      </c>
      <c r="L699" s="1" t="s">
        <v>152</v>
      </c>
      <c r="M699" s="1" t="s">
        <v>51</v>
      </c>
      <c r="N699" s="1"/>
      <c r="O699" s="1">
        <f t="shared" si="10"/>
        <v>0</v>
      </c>
      <c r="P699" s="1" t="s">
        <v>448</v>
      </c>
    </row>
    <row r="700" spans="1:16" ht="69.25" customHeight="1">
      <c r="A700" s="1" t="s">
        <v>50</v>
      </c>
      <c r="B700" s="1" t="s">
        <v>55</v>
      </c>
      <c r="C700" s="1">
        <v>2023</v>
      </c>
      <c r="D700" s="1" t="s">
        <v>57</v>
      </c>
      <c r="E700" s="1" t="s">
        <v>102</v>
      </c>
      <c r="F700" s="1" t="s">
        <v>103</v>
      </c>
      <c r="G700" s="1">
        <v>1</v>
      </c>
      <c r="H700" s="1" t="s">
        <v>429</v>
      </c>
      <c r="I700" s="1" t="s">
        <v>1620</v>
      </c>
      <c r="J700" s="1" t="s">
        <v>1611</v>
      </c>
      <c r="K700" s="1" t="s">
        <v>982</v>
      </c>
      <c r="L700" s="1" t="s">
        <v>152</v>
      </c>
      <c r="M700" s="1" t="s">
        <v>51</v>
      </c>
      <c r="N700" s="1"/>
      <c r="O700" s="1">
        <f t="shared" si="10"/>
        <v>1</v>
      </c>
      <c r="P700" s="1" t="s">
        <v>475</v>
      </c>
    </row>
    <row r="701" spans="1:16" ht="69.25" customHeight="1">
      <c r="A701" s="1" t="s">
        <v>50</v>
      </c>
      <c r="B701" s="1" t="s">
        <v>55</v>
      </c>
      <c r="C701" s="1">
        <v>2023</v>
      </c>
      <c r="D701" s="1" t="s">
        <v>57</v>
      </c>
      <c r="E701" s="1" t="s">
        <v>106</v>
      </c>
      <c r="F701" s="1" t="s">
        <v>107</v>
      </c>
      <c r="G701" s="1">
        <v>1</v>
      </c>
      <c r="H701" s="1" t="s">
        <v>429</v>
      </c>
      <c r="I701" s="1" t="s">
        <v>1621</v>
      </c>
      <c r="J701" s="1" t="s">
        <v>1611</v>
      </c>
      <c r="K701" s="1" t="s">
        <v>918</v>
      </c>
      <c r="L701" s="1" t="s">
        <v>152</v>
      </c>
      <c r="M701" s="1" t="s">
        <v>51</v>
      </c>
      <c r="N701" s="1"/>
      <c r="O701" s="1">
        <f t="shared" si="10"/>
        <v>1</v>
      </c>
      <c r="P701" s="1" t="s">
        <v>1246</v>
      </c>
    </row>
    <row r="702" spans="1:16" ht="69.25" customHeight="1">
      <c r="A702" s="1" t="s">
        <v>50</v>
      </c>
      <c r="B702" s="1" t="s">
        <v>55</v>
      </c>
      <c r="C702" s="1">
        <v>2024</v>
      </c>
      <c r="D702" s="1" t="s">
        <v>57</v>
      </c>
      <c r="E702" s="1" t="s">
        <v>70</v>
      </c>
      <c r="F702" s="1" t="s">
        <v>71</v>
      </c>
      <c r="G702" s="1">
        <v>1</v>
      </c>
      <c r="H702" s="1" t="s">
        <v>429</v>
      </c>
      <c r="I702" s="1" t="s">
        <v>1622</v>
      </c>
      <c r="J702" s="1" t="s">
        <v>1623</v>
      </c>
      <c r="K702" s="1" t="s">
        <v>1574</v>
      </c>
      <c r="L702" s="1" t="s">
        <v>152</v>
      </c>
      <c r="M702" s="1" t="s">
        <v>51</v>
      </c>
      <c r="N702" s="1"/>
      <c r="O702" s="1">
        <f t="shared" si="10"/>
        <v>1</v>
      </c>
      <c r="P702" s="1" t="s">
        <v>433</v>
      </c>
    </row>
    <row r="703" spans="1:16" ht="69.25" customHeight="1">
      <c r="A703" s="1" t="s">
        <v>50</v>
      </c>
      <c r="B703" s="1" t="s">
        <v>55</v>
      </c>
      <c r="C703" s="1">
        <v>2024</v>
      </c>
      <c r="D703" s="1" t="s">
        <v>57</v>
      </c>
      <c r="E703" s="1" t="s">
        <v>74</v>
      </c>
      <c r="F703" s="1" t="s">
        <v>75</v>
      </c>
      <c r="G703" s="1">
        <v>1</v>
      </c>
      <c r="H703" s="1" t="s">
        <v>429</v>
      </c>
      <c r="I703" s="1" t="s">
        <v>1624</v>
      </c>
      <c r="J703" s="1" t="s">
        <v>1623</v>
      </c>
      <c r="K703" s="1" t="s">
        <v>1625</v>
      </c>
      <c r="L703" s="1" t="s">
        <v>152</v>
      </c>
      <c r="M703" s="1" t="s">
        <v>51</v>
      </c>
      <c r="N703" s="1"/>
      <c r="O703" s="1">
        <f t="shared" si="10"/>
        <v>1</v>
      </c>
      <c r="P703" s="1" t="s">
        <v>460</v>
      </c>
    </row>
    <row r="704" spans="1:16" ht="69.25" customHeight="1">
      <c r="A704" s="1" t="s">
        <v>50</v>
      </c>
      <c r="B704" s="1" t="s">
        <v>55</v>
      </c>
      <c r="C704" s="1">
        <v>2024</v>
      </c>
      <c r="D704" s="1" t="s">
        <v>57</v>
      </c>
      <c r="E704" s="1" t="s">
        <v>78</v>
      </c>
      <c r="F704" s="1" t="s">
        <v>79</v>
      </c>
      <c r="G704" s="1">
        <v>1</v>
      </c>
      <c r="H704" s="1" t="s">
        <v>429</v>
      </c>
      <c r="I704" s="1" t="s">
        <v>1626</v>
      </c>
      <c r="J704" s="1" t="s">
        <v>1623</v>
      </c>
      <c r="K704" s="1" t="s">
        <v>1627</v>
      </c>
      <c r="L704" s="1" t="s">
        <v>152</v>
      </c>
      <c r="M704" s="1" t="s">
        <v>51</v>
      </c>
      <c r="N704" s="1"/>
      <c r="O704" s="1">
        <f t="shared" si="10"/>
        <v>1</v>
      </c>
      <c r="P704" s="1" t="s">
        <v>915</v>
      </c>
    </row>
    <row r="705" spans="1:16" ht="69.25" customHeight="1">
      <c r="A705" s="1" t="s">
        <v>50</v>
      </c>
      <c r="B705" s="1" t="s">
        <v>55</v>
      </c>
      <c r="C705" s="1">
        <v>2024</v>
      </c>
      <c r="D705" s="1" t="s">
        <v>57</v>
      </c>
      <c r="E705" s="1" t="s">
        <v>82</v>
      </c>
      <c r="F705" s="1" t="s">
        <v>83</v>
      </c>
      <c r="G705" s="1">
        <v>1</v>
      </c>
      <c r="H705" s="1" t="s">
        <v>429</v>
      </c>
      <c r="I705" s="1" t="s">
        <v>1628</v>
      </c>
      <c r="J705" s="1" t="s">
        <v>1623</v>
      </c>
      <c r="K705" s="1" t="s">
        <v>1589</v>
      </c>
      <c r="L705" s="1" t="s">
        <v>152</v>
      </c>
      <c r="M705" s="1" t="s">
        <v>51</v>
      </c>
      <c r="N705" s="1"/>
      <c r="O705" s="1">
        <f t="shared" si="10"/>
        <v>1</v>
      </c>
      <c r="P705" s="1" t="s">
        <v>465</v>
      </c>
    </row>
    <row r="706" spans="1:16" ht="69.25" customHeight="1">
      <c r="A706" s="1" t="s">
        <v>50</v>
      </c>
      <c r="B706" s="1" t="s">
        <v>55</v>
      </c>
      <c r="C706" s="1">
        <v>2024</v>
      </c>
      <c r="D706" s="1" t="s">
        <v>57</v>
      </c>
      <c r="E706" s="1" t="s">
        <v>86</v>
      </c>
      <c r="F706" s="1" t="s">
        <v>87</v>
      </c>
      <c r="G706" s="1">
        <v>1</v>
      </c>
      <c r="H706" s="1" t="s">
        <v>429</v>
      </c>
      <c r="I706" s="1" t="s">
        <v>1629</v>
      </c>
      <c r="J706" s="1" t="s">
        <v>1623</v>
      </c>
      <c r="K706" s="1" t="s">
        <v>1625</v>
      </c>
      <c r="L706" s="1" t="s">
        <v>152</v>
      </c>
      <c r="M706" s="1" t="s">
        <v>51</v>
      </c>
      <c r="N706" s="1"/>
      <c r="O706" s="1">
        <f t="shared" ref="O706:O769" si="11">IF(N706&lt;&gt;"",N706,G706)</f>
        <v>1</v>
      </c>
      <c r="P706" s="1" t="s">
        <v>467</v>
      </c>
    </row>
    <row r="707" spans="1:16" ht="69.25" customHeight="1">
      <c r="A707" s="1" t="s">
        <v>50</v>
      </c>
      <c r="B707" s="1" t="s">
        <v>55</v>
      </c>
      <c r="C707" s="1">
        <v>2024</v>
      </c>
      <c r="D707" s="1" t="s">
        <v>57</v>
      </c>
      <c r="E707" s="1" t="s">
        <v>90</v>
      </c>
      <c r="F707" s="1" t="s">
        <v>91</v>
      </c>
      <c r="G707" s="1">
        <v>1</v>
      </c>
      <c r="H707" s="1" t="s">
        <v>429</v>
      </c>
      <c r="I707" s="1" t="s">
        <v>1630</v>
      </c>
      <c r="J707" s="1" t="s">
        <v>1623</v>
      </c>
      <c r="K707" s="1" t="s">
        <v>1625</v>
      </c>
      <c r="L707" s="1" t="s">
        <v>152</v>
      </c>
      <c r="M707" s="1" t="s">
        <v>51</v>
      </c>
      <c r="N707" s="1"/>
      <c r="O707" s="1">
        <f t="shared" si="11"/>
        <v>1</v>
      </c>
      <c r="P707" s="1" t="s">
        <v>526</v>
      </c>
    </row>
    <row r="708" spans="1:16" ht="69.25" customHeight="1">
      <c r="A708" s="1" t="s">
        <v>50</v>
      </c>
      <c r="B708" s="1" t="s">
        <v>55</v>
      </c>
      <c r="C708" s="1">
        <v>2024</v>
      </c>
      <c r="D708" s="1" t="s">
        <v>57</v>
      </c>
      <c r="E708" s="1" t="s">
        <v>94</v>
      </c>
      <c r="F708" s="1" t="s">
        <v>95</v>
      </c>
      <c r="G708" s="1">
        <v>0</v>
      </c>
      <c r="H708" s="1" t="s">
        <v>445</v>
      </c>
      <c r="I708" s="1" t="s">
        <v>1631</v>
      </c>
      <c r="J708" s="1" t="s">
        <v>1623</v>
      </c>
      <c r="K708" s="1" t="s">
        <v>1632</v>
      </c>
      <c r="L708" s="1" t="s">
        <v>152</v>
      </c>
      <c r="M708" s="1" t="s">
        <v>51</v>
      </c>
      <c r="N708" s="1"/>
      <c r="O708" s="1">
        <f t="shared" si="11"/>
        <v>0</v>
      </c>
      <c r="P708" s="1" t="s">
        <v>448</v>
      </c>
    </row>
    <row r="709" spans="1:16" ht="69.25" customHeight="1">
      <c r="A709" s="1" t="s">
        <v>50</v>
      </c>
      <c r="B709" s="1" t="s">
        <v>55</v>
      </c>
      <c r="C709" s="1">
        <v>2024</v>
      </c>
      <c r="D709" s="1" t="s">
        <v>57</v>
      </c>
      <c r="E709" s="1" t="s">
        <v>98</v>
      </c>
      <c r="F709" s="1" t="s">
        <v>99</v>
      </c>
      <c r="G709" s="1">
        <v>1</v>
      </c>
      <c r="H709" s="1" t="s">
        <v>429</v>
      </c>
      <c r="I709" s="1" t="s">
        <v>1633</v>
      </c>
      <c r="J709" s="1" t="s">
        <v>1623</v>
      </c>
      <c r="K709" s="1" t="s">
        <v>1634</v>
      </c>
      <c r="L709" s="1" t="s">
        <v>152</v>
      </c>
      <c r="M709" s="1" t="s">
        <v>51</v>
      </c>
      <c r="N709" s="1"/>
      <c r="O709" s="1">
        <f t="shared" si="11"/>
        <v>1</v>
      </c>
      <c r="P709" s="1" t="s">
        <v>451</v>
      </c>
    </row>
    <row r="710" spans="1:16" ht="69.25" customHeight="1">
      <c r="A710" s="1" t="s">
        <v>50</v>
      </c>
      <c r="B710" s="1" t="s">
        <v>55</v>
      </c>
      <c r="C710" s="1">
        <v>2024</v>
      </c>
      <c r="D710" s="1" t="s">
        <v>57</v>
      </c>
      <c r="E710" s="1" t="s">
        <v>102</v>
      </c>
      <c r="F710" s="1" t="s">
        <v>103</v>
      </c>
      <c r="G710" s="1">
        <v>0</v>
      </c>
      <c r="H710" s="1" t="s">
        <v>445</v>
      </c>
      <c r="I710" s="1" t="s">
        <v>1635</v>
      </c>
      <c r="J710" s="1" t="s">
        <v>1623</v>
      </c>
      <c r="K710" s="1" t="s">
        <v>1262</v>
      </c>
      <c r="L710" s="1" t="s">
        <v>152</v>
      </c>
      <c r="M710" s="1" t="s">
        <v>51</v>
      </c>
      <c r="N710" s="1"/>
      <c r="O710" s="1">
        <f t="shared" si="11"/>
        <v>0</v>
      </c>
      <c r="P710" s="1" t="s">
        <v>448</v>
      </c>
    </row>
    <row r="711" spans="1:16" ht="69.25" customHeight="1">
      <c r="A711" s="1" t="s">
        <v>50</v>
      </c>
      <c r="B711" s="1" t="s">
        <v>55</v>
      </c>
      <c r="C711" s="1">
        <v>2024</v>
      </c>
      <c r="D711" s="1" t="s">
        <v>57</v>
      </c>
      <c r="E711" s="1" t="s">
        <v>106</v>
      </c>
      <c r="F711" s="1" t="s">
        <v>107</v>
      </c>
      <c r="G711" s="1">
        <v>1</v>
      </c>
      <c r="H711" s="1" t="s">
        <v>429</v>
      </c>
      <c r="I711" s="1" t="s">
        <v>1636</v>
      </c>
      <c r="J711" s="1" t="s">
        <v>1623</v>
      </c>
      <c r="K711" s="1" t="s">
        <v>1072</v>
      </c>
      <c r="L711" s="1" t="s">
        <v>152</v>
      </c>
      <c r="M711" s="1" t="s">
        <v>51</v>
      </c>
      <c r="N711" s="1"/>
      <c r="O711" s="1">
        <f t="shared" si="11"/>
        <v>1</v>
      </c>
      <c r="P711" s="1" t="s">
        <v>1246</v>
      </c>
    </row>
    <row r="712" spans="1:16" ht="69.25" customHeight="1">
      <c r="A712" s="1" t="s">
        <v>50</v>
      </c>
      <c r="B712" s="1" t="s">
        <v>55</v>
      </c>
      <c r="C712" s="1">
        <v>2025</v>
      </c>
      <c r="D712" s="1" t="s">
        <v>57</v>
      </c>
      <c r="E712" s="1" t="s">
        <v>70</v>
      </c>
      <c r="F712" s="1" t="s">
        <v>71</v>
      </c>
      <c r="G712" s="1">
        <v>0</v>
      </c>
      <c r="H712" s="1" t="s">
        <v>434</v>
      </c>
      <c r="I712" s="1" t="s">
        <v>1637</v>
      </c>
      <c r="J712" s="1" t="s">
        <v>1638</v>
      </c>
      <c r="K712" s="1" t="s">
        <v>1639</v>
      </c>
      <c r="L712" s="1" t="s">
        <v>152</v>
      </c>
      <c r="M712" s="1" t="s">
        <v>51</v>
      </c>
      <c r="N712" s="1"/>
      <c r="O712" s="1">
        <f t="shared" si="11"/>
        <v>0</v>
      </c>
      <c r="P712" s="1" t="s">
        <v>700</v>
      </c>
    </row>
    <row r="713" spans="1:16" ht="69.25" customHeight="1">
      <c r="A713" s="1" t="s">
        <v>50</v>
      </c>
      <c r="B713" s="1" t="s">
        <v>55</v>
      </c>
      <c r="C713" s="1">
        <v>2025</v>
      </c>
      <c r="D713" s="1" t="s">
        <v>57</v>
      </c>
      <c r="E713" s="1" t="s">
        <v>74</v>
      </c>
      <c r="F713" s="1" t="s">
        <v>75</v>
      </c>
      <c r="G713" s="1">
        <v>0</v>
      </c>
      <c r="H713" s="1" t="s">
        <v>445</v>
      </c>
      <c r="I713" s="1" t="s">
        <v>1640</v>
      </c>
      <c r="J713" s="1" t="s">
        <v>1638</v>
      </c>
      <c r="K713" s="1" t="s">
        <v>1641</v>
      </c>
      <c r="L713" s="1" t="s">
        <v>152</v>
      </c>
      <c r="M713" s="1" t="s">
        <v>51</v>
      </c>
      <c r="N713" s="1"/>
      <c r="O713" s="1">
        <f t="shared" si="11"/>
        <v>0</v>
      </c>
      <c r="P713" s="1" t="s">
        <v>448</v>
      </c>
    </row>
    <row r="714" spans="1:16" ht="69.25" customHeight="1">
      <c r="A714" s="1" t="s">
        <v>50</v>
      </c>
      <c r="B714" s="1" t="s">
        <v>55</v>
      </c>
      <c r="C714" s="1">
        <v>2025</v>
      </c>
      <c r="D714" s="1" t="s">
        <v>57</v>
      </c>
      <c r="E714" s="1" t="s">
        <v>78</v>
      </c>
      <c r="F714" s="1" t="s">
        <v>79</v>
      </c>
      <c r="G714" s="1">
        <v>1</v>
      </c>
      <c r="H714" s="1" t="s">
        <v>429</v>
      </c>
      <c r="I714" s="1" t="s">
        <v>1642</v>
      </c>
      <c r="J714" s="1" t="s">
        <v>1638</v>
      </c>
      <c r="K714" s="1" t="s">
        <v>993</v>
      </c>
      <c r="L714" s="1" t="s">
        <v>152</v>
      </c>
      <c r="M714" s="1" t="s">
        <v>51</v>
      </c>
      <c r="N714" s="1"/>
      <c r="O714" s="1">
        <f t="shared" si="11"/>
        <v>1</v>
      </c>
      <c r="P714" s="1" t="s">
        <v>915</v>
      </c>
    </row>
    <row r="715" spans="1:16" ht="69.25" customHeight="1">
      <c r="A715" s="1" t="s">
        <v>50</v>
      </c>
      <c r="B715" s="1" t="s">
        <v>55</v>
      </c>
      <c r="C715" s="1">
        <v>2025</v>
      </c>
      <c r="D715" s="1" t="s">
        <v>57</v>
      </c>
      <c r="E715" s="1" t="s">
        <v>82</v>
      </c>
      <c r="F715" s="1" t="s">
        <v>83</v>
      </c>
      <c r="G715" s="1">
        <v>0</v>
      </c>
      <c r="H715" s="1" t="s">
        <v>445</v>
      </c>
      <c r="I715" s="1" t="s">
        <v>1643</v>
      </c>
      <c r="J715" s="1" t="s">
        <v>1638</v>
      </c>
      <c r="K715" s="1" t="s">
        <v>1644</v>
      </c>
      <c r="L715" s="1" t="s">
        <v>152</v>
      </c>
      <c r="M715" s="1" t="s">
        <v>51</v>
      </c>
      <c r="N715" s="1"/>
      <c r="O715" s="1">
        <f t="shared" si="11"/>
        <v>0</v>
      </c>
      <c r="P715" s="1" t="s">
        <v>448</v>
      </c>
    </row>
    <row r="716" spans="1:16" ht="69.25" customHeight="1">
      <c r="A716" s="1" t="s">
        <v>50</v>
      </c>
      <c r="B716" s="1" t="s">
        <v>55</v>
      </c>
      <c r="C716" s="1">
        <v>2025</v>
      </c>
      <c r="D716" s="1" t="s">
        <v>57</v>
      </c>
      <c r="E716" s="1" t="s">
        <v>86</v>
      </c>
      <c r="F716" s="1" t="s">
        <v>87</v>
      </c>
      <c r="G716" s="1">
        <v>1</v>
      </c>
      <c r="H716" s="1" t="s">
        <v>429</v>
      </c>
      <c r="I716" s="1" t="s">
        <v>1645</v>
      </c>
      <c r="J716" s="1" t="s">
        <v>1638</v>
      </c>
      <c r="K716" s="1" t="s">
        <v>1644</v>
      </c>
      <c r="L716" s="1" t="s">
        <v>152</v>
      </c>
      <c r="M716" s="1" t="s">
        <v>51</v>
      </c>
      <c r="N716" s="1"/>
      <c r="O716" s="1">
        <f t="shared" si="11"/>
        <v>1</v>
      </c>
      <c r="P716" s="1" t="s">
        <v>467</v>
      </c>
    </row>
    <row r="717" spans="1:16" ht="69.25" customHeight="1">
      <c r="A717" s="1" t="s">
        <v>50</v>
      </c>
      <c r="B717" s="1" t="s">
        <v>55</v>
      </c>
      <c r="C717" s="1">
        <v>2025</v>
      </c>
      <c r="D717" s="1" t="s">
        <v>57</v>
      </c>
      <c r="E717" s="1" t="s">
        <v>90</v>
      </c>
      <c r="F717" s="1" t="s">
        <v>91</v>
      </c>
      <c r="G717" s="1">
        <v>0</v>
      </c>
      <c r="H717" s="1" t="s">
        <v>445</v>
      </c>
      <c r="I717" s="1" t="s">
        <v>1643</v>
      </c>
      <c r="J717" s="1" t="s">
        <v>1638</v>
      </c>
      <c r="K717" s="1" t="s">
        <v>1644</v>
      </c>
      <c r="L717" s="1" t="s">
        <v>152</v>
      </c>
      <c r="M717" s="1" t="s">
        <v>51</v>
      </c>
      <c r="N717" s="1"/>
      <c r="O717" s="1">
        <f t="shared" si="11"/>
        <v>0</v>
      </c>
      <c r="P717" s="1" t="s">
        <v>448</v>
      </c>
    </row>
    <row r="718" spans="1:16" ht="69.25" customHeight="1">
      <c r="A718" s="1" t="s">
        <v>50</v>
      </c>
      <c r="B718" s="1" t="s">
        <v>55</v>
      </c>
      <c r="C718" s="1">
        <v>2025</v>
      </c>
      <c r="D718" s="1" t="s">
        <v>57</v>
      </c>
      <c r="E718" s="1" t="s">
        <v>94</v>
      </c>
      <c r="F718" s="1" t="s">
        <v>95</v>
      </c>
      <c r="G718" s="1">
        <v>0</v>
      </c>
      <c r="H718" s="1" t="s">
        <v>445</v>
      </c>
      <c r="I718" s="1" t="s">
        <v>1646</v>
      </c>
      <c r="J718" s="1" t="s">
        <v>1638</v>
      </c>
      <c r="K718" s="1" t="s">
        <v>1568</v>
      </c>
      <c r="L718" s="1" t="s">
        <v>152</v>
      </c>
      <c r="M718" s="1" t="s">
        <v>51</v>
      </c>
      <c r="N718" s="1"/>
      <c r="O718" s="1">
        <f t="shared" si="11"/>
        <v>0</v>
      </c>
      <c r="P718" s="1" t="s">
        <v>448</v>
      </c>
    </row>
    <row r="719" spans="1:16" ht="69.25" customHeight="1">
      <c r="A719" s="1" t="s">
        <v>50</v>
      </c>
      <c r="B719" s="1" t="s">
        <v>55</v>
      </c>
      <c r="C719" s="1">
        <v>2025</v>
      </c>
      <c r="D719" s="1" t="s">
        <v>57</v>
      </c>
      <c r="E719" s="1" t="s">
        <v>98</v>
      </c>
      <c r="F719" s="1" t="s">
        <v>99</v>
      </c>
      <c r="G719" s="1">
        <v>1</v>
      </c>
      <c r="H719" s="1" t="s">
        <v>429</v>
      </c>
      <c r="I719" s="1" t="s">
        <v>1647</v>
      </c>
      <c r="J719" s="1" t="s">
        <v>1638</v>
      </c>
      <c r="K719" s="1" t="s">
        <v>1504</v>
      </c>
      <c r="L719" s="1" t="s">
        <v>152</v>
      </c>
      <c r="M719" s="1" t="s">
        <v>51</v>
      </c>
      <c r="N719" s="1"/>
      <c r="O719" s="1">
        <f t="shared" si="11"/>
        <v>1</v>
      </c>
      <c r="P719" s="1" t="s">
        <v>451</v>
      </c>
    </row>
    <row r="720" spans="1:16" ht="69.25" customHeight="1">
      <c r="A720" s="1" t="s">
        <v>50</v>
      </c>
      <c r="B720" s="1" t="s">
        <v>55</v>
      </c>
      <c r="C720" s="1">
        <v>2025</v>
      </c>
      <c r="D720" s="1" t="s">
        <v>57</v>
      </c>
      <c r="E720" s="1" t="s">
        <v>102</v>
      </c>
      <c r="F720" s="1" t="s">
        <v>103</v>
      </c>
      <c r="G720" s="1">
        <v>1</v>
      </c>
      <c r="H720" s="1" t="s">
        <v>429</v>
      </c>
      <c r="I720" s="1" t="s">
        <v>1648</v>
      </c>
      <c r="J720" s="1" t="s">
        <v>1638</v>
      </c>
      <c r="K720" s="1" t="s">
        <v>1641</v>
      </c>
      <c r="L720" s="1" t="s">
        <v>152</v>
      </c>
      <c r="M720" s="1" t="s">
        <v>51</v>
      </c>
      <c r="N720" s="1"/>
      <c r="O720" s="1">
        <f t="shared" si="11"/>
        <v>1</v>
      </c>
      <c r="P720" s="1" t="s">
        <v>475</v>
      </c>
    </row>
    <row r="721" spans="1:16" ht="69.25" customHeight="1">
      <c r="A721" s="1" t="s">
        <v>50</v>
      </c>
      <c r="B721" s="1" t="s">
        <v>55</v>
      </c>
      <c r="C721" s="1">
        <v>2025</v>
      </c>
      <c r="D721" s="1" t="s">
        <v>57</v>
      </c>
      <c r="E721" s="1" t="s">
        <v>106</v>
      </c>
      <c r="F721" s="1" t="s">
        <v>107</v>
      </c>
      <c r="G721" s="1">
        <v>0</v>
      </c>
      <c r="H721" s="1" t="s">
        <v>445</v>
      </c>
      <c r="I721" s="1" t="s">
        <v>1649</v>
      </c>
      <c r="J721" s="1" t="s">
        <v>1638</v>
      </c>
      <c r="K721" s="1" t="s">
        <v>1650</v>
      </c>
      <c r="L721" s="1" t="s">
        <v>152</v>
      </c>
      <c r="M721" s="1" t="s">
        <v>51</v>
      </c>
      <c r="N721" s="1"/>
      <c r="O721" s="1">
        <f t="shared" si="11"/>
        <v>0</v>
      </c>
      <c r="P721" s="1" t="s">
        <v>448</v>
      </c>
    </row>
    <row r="722" spans="1:16" ht="69.25" customHeight="1">
      <c r="A722" s="1" t="s">
        <v>50</v>
      </c>
      <c r="B722" s="1" t="s">
        <v>58</v>
      </c>
      <c r="C722" s="1">
        <v>2022</v>
      </c>
      <c r="D722" s="1" t="s">
        <v>61</v>
      </c>
      <c r="E722" s="1" t="s">
        <v>70</v>
      </c>
      <c r="F722" s="1" t="s">
        <v>71</v>
      </c>
      <c r="G722" s="1">
        <v>1</v>
      </c>
      <c r="H722" s="1" t="s">
        <v>429</v>
      </c>
      <c r="I722" s="1" t="s">
        <v>1651</v>
      </c>
      <c r="J722" s="1" t="s">
        <v>1652</v>
      </c>
      <c r="K722" s="1" t="s">
        <v>474</v>
      </c>
      <c r="L722" s="1" t="s">
        <v>155</v>
      </c>
      <c r="M722" s="1" t="s">
        <v>51</v>
      </c>
      <c r="N722" s="1"/>
      <c r="O722" s="1">
        <f t="shared" si="11"/>
        <v>1</v>
      </c>
      <c r="P722" s="1" t="s">
        <v>433</v>
      </c>
    </row>
    <row r="723" spans="1:16" ht="69.25" customHeight="1">
      <c r="A723" s="1" t="s">
        <v>50</v>
      </c>
      <c r="B723" s="1" t="s">
        <v>58</v>
      </c>
      <c r="C723" s="1">
        <v>2022</v>
      </c>
      <c r="D723" s="1" t="s">
        <v>61</v>
      </c>
      <c r="E723" s="1" t="s">
        <v>74</v>
      </c>
      <c r="F723" s="1" t="s">
        <v>75</v>
      </c>
      <c r="G723" s="1">
        <v>1</v>
      </c>
      <c r="H723" s="1" t="s">
        <v>429</v>
      </c>
      <c r="I723" s="1" t="s">
        <v>1653</v>
      </c>
      <c r="J723" s="1" t="s">
        <v>1652</v>
      </c>
      <c r="K723" s="1" t="s">
        <v>1528</v>
      </c>
      <c r="L723" s="1" t="s">
        <v>155</v>
      </c>
      <c r="M723" s="1" t="s">
        <v>51</v>
      </c>
      <c r="N723" s="1"/>
      <c r="O723" s="1">
        <f t="shared" si="11"/>
        <v>1</v>
      </c>
      <c r="P723" s="1" t="s">
        <v>460</v>
      </c>
    </row>
    <row r="724" spans="1:16" ht="69.25" customHeight="1">
      <c r="A724" s="1" t="s">
        <v>50</v>
      </c>
      <c r="B724" s="1" t="s">
        <v>58</v>
      </c>
      <c r="C724" s="1">
        <v>2022</v>
      </c>
      <c r="D724" s="1" t="s">
        <v>61</v>
      </c>
      <c r="E724" s="1" t="s">
        <v>78</v>
      </c>
      <c r="F724" s="1" t="s">
        <v>79</v>
      </c>
      <c r="G724" s="1">
        <v>0</v>
      </c>
      <c r="H724" s="1" t="s">
        <v>434</v>
      </c>
      <c r="I724" s="1" t="s">
        <v>1654</v>
      </c>
      <c r="J724" s="1" t="s">
        <v>1652</v>
      </c>
      <c r="K724" s="1" t="s">
        <v>474</v>
      </c>
      <c r="L724" s="1" t="s">
        <v>155</v>
      </c>
      <c r="M724" s="1" t="s">
        <v>51</v>
      </c>
      <c r="N724" s="1"/>
      <c r="O724" s="1">
        <f t="shared" si="11"/>
        <v>0</v>
      </c>
      <c r="P724" s="1" t="s">
        <v>439</v>
      </c>
    </row>
    <row r="725" spans="1:16" ht="69.25" customHeight="1">
      <c r="A725" s="1" t="s">
        <v>50</v>
      </c>
      <c r="B725" s="1" t="s">
        <v>58</v>
      </c>
      <c r="C725" s="1">
        <v>2022</v>
      </c>
      <c r="D725" s="1" t="s">
        <v>61</v>
      </c>
      <c r="E725" s="1" t="s">
        <v>82</v>
      </c>
      <c r="F725" s="1" t="s">
        <v>83</v>
      </c>
      <c r="G725" s="1">
        <v>1</v>
      </c>
      <c r="H725" s="1" t="s">
        <v>429</v>
      </c>
      <c r="I725" s="1" t="s">
        <v>1655</v>
      </c>
      <c r="J725" s="1" t="s">
        <v>1652</v>
      </c>
      <c r="K725" s="1" t="s">
        <v>1528</v>
      </c>
      <c r="L725" s="1" t="s">
        <v>155</v>
      </c>
      <c r="M725" s="1" t="s">
        <v>51</v>
      </c>
      <c r="N725" s="1"/>
      <c r="O725" s="1">
        <f t="shared" si="11"/>
        <v>1</v>
      </c>
      <c r="P725" s="1" t="s">
        <v>465</v>
      </c>
    </row>
    <row r="726" spans="1:16" ht="69.25" customHeight="1">
      <c r="A726" s="1" t="s">
        <v>50</v>
      </c>
      <c r="B726" s="1" t="s">
        <v>58</v>
      </c>
      <c r="C726" s="1">
        <v>2022</v>
      </c>
      <c r="D726" s="1" t="s">
        <v>61</v>
      </c>
      <c r="E726" s="1" t="s">
        <v>86</v>
      </c>
      <c r="F726" s="1" t="s">
        <v>87</v>
      </c>
      <c r="G726" s="1">
        <v>1</v>
      </c>
      <c r="H726" s="1" t="s">
        <v>429</v>
      </c>
      <c r="I726" s="1" t="s">
        <v>1656</v>
      </c>
      <c r="J726" s="1" t="s">
        <v>1652</v>
      </c>
      <c r="K726" s="1" t="s">
        <v>606</v>
      </c>
      <c r="L726" s="1" t="s">
        <v>155</v>
      </c>
      <c r="M726" s="1" t="s">
        <v>51</v>
      </c>
      <c r="N726" s="1"/>
      <c r="O726" s="1">
        <f t="shared" si="11"/>
        <v>1</v>
      </c>
      <c r="P726" s="1" t="s">
        <v>467</v>
      </c>
    </row>
    <row r="727" spans="1:16" ht="69.25" customHeight="1">
      <c r="A727" s="1" t="s">
        <v>50</v>
      </c>
      <c r="B727" s="1" t="s">
        <v>58</v>
      </c>
      <c r="C727" s="1">
        <v>2022</v>
      </c>
      <c r="D727" s="1" t="s">
        <v>61</v>
      </c>
      <c r="E727" s="1" t="s">
        <v>90</v>
      </c>
      <c r="F727" s="1" t="s">
        <v>91</v>
      </c>
      <c r="G727" s="1">
        <v>1</v>
      </c>
      <c r="H727" s="1" t="s">
        <v>429</v>
      </c>
      <c r="I727" s="1" t="s">
        <v>1655</v>
      </c>
      <c r="J727" s="1" t="s">
        <v>1652</v>
      </c>
      <c r="K727" s="1" t="s">
        <v>1528</v>
      </c>
      <c r="L727" s="1" t="s">
        <v>155</v>
      </c>
      <c r="M727" s="1" t="s">
        <v>51</v>
      </c>
      <c r="N727" s="1"/>
      <c r="O727" s="1">
        <f t="shared" si="11"/>
        <v>1</v>
      </c>
      <c r="P727" s="1" t="s">
        <v>526</v>
      </c>
    </row>
    <row r="728" spans="1:16" ht="69.25" customHeight="1">
      <c r="A728" s="1" t="s">
        <v>50</v>
      </c>
      <c r="B728" s="1" t="s">
        <v>58</v>
      </c>
      <c r="C728" s="1">
        <v>2022</v>
      </c>
      <c r="D728" s="1" t="s">
        <v>61</v>
      </c>
      <c r="E728" s="1" t="s">
        <v>94</v>
      </c>
      <c r="F728" s="1" t="s">
        <v>95</v>
      </c>
      <c r="G728" s="1">
        <v>0</v>
      </c>
      <c r="H728" s="1" t="s">
        <v>434</v>
      </c>
      <c r="I728" s="1" t="s">
        <v>1657</v>
      </c>
      <c r="J728" s="1" t="s">
        <v>1652</v>
      </c>
      <c r="K728" s="1" t="s">
        <v>631</v>
      </c>
      <c r="L728" s="1" t="s">
        <v>155</v>
      </c>
      <c r="M728" s="1" t="s">
        <v>51</v>
      </c>
      <c r="N728" s="1"/>
      <c r="O728" s="1">
        <f t="shared" si="11"/>
        <v>0</v>
      </c>
      <c r="P728" s="1" t="s">
        <v>795</v>
      </c>
    </row>
    <row r="729" spans="1:16" ht="69.25" customHeight="1">
      <c r="A729" s="1" t="s">
        <v>50</v>
      </c>
      <c r="B729" s="1" t="s">
        <v>58</v>
      </c>
      <c r="C729" s="1">
        <v>2022</v>
      </c>
      <c r="D729" s="1" t="s">
        <v>61</v>
      </c>
      <c r="E729" s="1" t="s">
        <v>98</v>
      </c>
      <c r="F729" s="1" t="s">
        <v>99</v>
      </c>
      <c r="G729" s="1">
        <v>1</v>
      </c>
      <c r="H729" s="1" t="s">
        <v>429</v>
      </c>
      <c r="I729" s="1" t="s">
        <v>1658</v>
      </c>
      <c r="J729" s="1" t="s">
        <v>1652</v>
      </c>
      <c r="K729" s="1" t="s">
        <v>1095</v>
      </c>
      <c r="L729" s="1" t="s">
        <v>155</v>
      </c>
      <c r="M729" s="1" t="s">
        <v>51</v>
      </c>
      <c r="N729" s="1"/>
      <c r="O729" s="1">
        <f t="shared" si="11"/>
        <v>1</v>
      </c>
      <c r="P729" s="1" t="s">
        <v>451</v>
      </c>
    </row>
    <row r="730" spans="1:16" ht="69.25" customHeight="1">
      <c r="A730" s="1" t="s">
        <v>50</v>
      </c>
      <c r="B730" s="1" t="s">
        <v>58</v>
      </c>
      <c r="C730" s="1">
        <v>2022</v>
      </c>
      <c r="D730" s="1" t="s">
        <v>61</v>
      </c>
      <c r="E730" s="1" t="s">
        <v>102</v>
      </c>
      <c r="F730" s="1" t="s">
        <v>103</v>
      </c>
      <c r="G730" s="1">
        <v>1</v>
      </c>
      <c r="H730" s="1" t="s">
        <v>429</v>
      </c>
      <c r="I730" s="1" t="s">
        <v>1659</v>
      </c>
      <c r="J730" s="1" t="s">
        <v>1652</v>
      </c>
      <c r="K730" s="1" t="s">
        <v>1528</v>
      </c>
      <c r="L730" s="1" t="s">
        <v>155</v>
      </c>
      <c r="M730" s="1" t="s">
        <v>51</v>
      </c>
      <c r="N730" s="1"/>
      <c r="O730" s="1">
        <f t="shared" si="11"/>
        <v>1</v>
      </c>
      <c r="P730" s="1" t="s">
        <v>475</v>
      </c>
    </row>
    <row r="731" spans="1:16" ht="69.25" customHeight="1">
      <c r="A731" s="1" t="s">
        <v>50</v>
      </c>
      <c r="B731" s="1" t="s">
        <v>58</v>
      </c>
      <c r="C731" s="1">
        <v>2022</v>
      </c>
      <c r="D731" s="1" t="s">
        <v>61</v>
      </c>
      <c r="E731" s="1" t="s">
        <v>106</v>
      </c>
      <c r="F731" s="1" t="s">
        <v>107</v>
      </c>
      <c r="G731" s="1">
        <v>0</v>
      </c>
      <c r="H731" s="1" t="s">
        <v>445</v>
      </c>
      <c r="I731" s="1" t="s">
        <v>1660</v>
      </c>
      <c r="J731" s="1" t="s">
        <v>1652</v>
      </c>
      <c r="K731" s="1" t="s">
        <v>1396</v>
      </c>
      <c r="L731" s="1" t="s">
        <v>155</v>
      </c>
      <c r="M731" s="1" t="s">
        <v>51</v>
      </c>
      <c r="N731" s="1"/>
      <c r="O731" s="1">
        <f t="shared" si="11"/>
        <v>0</v>
      </c>
      <c r="P731" s="1" t="s">
        <v>448</v>
      </c>
    </row>
    <row r="732" spans="1:16" ht="69.25" customHeight="1">
      <c r="A732" s="1" t="s">
        <v>50</v>
      </c>
      <c r="B732" s="1" t="s">
        <v>58</v>
      </c>
      <c r="C732" s="1">
        <v>2023</v>
      </c>
      <c r="D732" s="1" t="s">
        <v>61</v>
      </c>
      <c r="E732" s="1" t="s">
        <v>70</v>
      </c>
      <c r="F732" s="1" t="s">
        <v>71</v>
      </c>
      <c r="G732" s="1">
        <v>1</v>
      </c>
      <c r="H732" s="1" t="s">
        <v>429</v>
      </c>
      <c r="I732" s="1" t="s">
        <v>1661</v>
      </c>
      <c r="J732" s="1" t="s">
        <v>1662</v>
      </c>
      <c r="K732" s="1" t="s">
        <v>1419</v>
      </c>
      <c r="L732" s="1" t="s">
        <v>155</v>
      </c>
      <c r="M732" s="1" t="s">
        <v>51</v>
      </c>
      <c r="N732" s="1"/>
      <c r="O732" s="1">
        <f t="shared" si="11"/>
        <v>1</v>
      </c>
      <c r="P732" s="1" t="s">
        <v>433</v>
      </c>
    </row>
    <row r="733" spans="1:16" ht="69.25" customHeight="1">
      <c r="A733" s="1" t="s">
        <v>50</v>
      </c>
      <c r="B733" s="1" t="s">
        <v>58</v>
      </c>
      <c r="C733" s="1">
        <v>2023</v>
      </c>
      <c r="D733" s="1" t="s">
        <v>61</v>
      </c>
      <c r="E733" s="1" t="s">
        <v>74</v>
      </c>
      <c r="F733" s="1" t="s">
        <v>75</v>
      </c>
      <c r="G733" s="1">
        <v>0</v>
      </c>
      <c r="H733" s="1" t="s">
        <v>445</v>
      </c>
      <c r="I733" s="1" t="s">
        <v>1663</v>
      </c>
      <c r="J733" s="1" t="s">
        <v>1662</v>
      </c>
      <c r="K733" s="1" t="s">
        <v>689</v>
      </c>
      <c r="L733" s="1" t="s">
        <v>155</v>
      </c>
      <c r="M733" s="1" t="s">
        <v>51</v>
      </c>
      <c r="N733" s="1"/>
      <c r="O733" s="1">
        <f t="shared" si="11"/>
        <v>0</v>
      </c>
      <c r="P733" s="1" t="s">
        <v>448</v>
      </c>
    </row>
    <row r="734" spans="1:16" ht="69.25" customHeight="1">
      <c r="A734" s="1" t="s">
        <v>50</v>
      </c>
      <c r="B734" s="1" t="s">
        <v>58</v>
      </c>
      <c r="C734" s="1">
        <v>2023</v>
      </c>
      <c r="D734" s="1" t="s">
        <v>61</v>
      </c>
      <c r="E734" s="1" t="s">
        <v>78</v>
      </c>
      <c r="F734" s="1" t="s">
        <v>79</v>
      </c>
      <c r="G734" s="1">
        <v>1</v>
      </c>
      <c r="H734" s="1" t="s">
        <v>429</v>
      </c>
      <c r="I734" s="1" t="s">
        <v>1664</v>
      </c>
      <c r="J734" s="1" t="s">
        <v>1662</v>
      </c>
      <c r="K734" s="1" t="s">
        <v>689</v>
      </c>
      <c r="L734" s="1" t="s">
        <v>155</v>
      </c>
      <c r="M734" s="1" t="s">
        <v>51</v>
      </c>
      <c r="N734" s="1"/>
      <c r="O734" s="1">
        <f t="shared" si="11"/>
        <v>1</v>
      </c>
      <c r="P734" s="1" t="s">
        <v>915</v>
      </c>
    </row>
    <row r="735" spans="1:16" ht="69.25" customHeight="1">
      <c r="A735" s="1" t="s">
        <v>50</v>
      </c>
      <c r="B735" s="1" t="s">
        <v>58</v>
      </c>
      <c r="C735" s="1">
        <v>2023</v>
      </c>
      <c r="D735" s="1" t="s">
        <v>61</v>
      </c>
      <c r="E735" s="1" t="s">
        <v>82</v>
      </c>
      <c r="F735" s="1" t="s">
        <v>83</v>
      </c>
      <c r="G735" s="1">
        <v>1</v>
      </c>
      <c r="H735" s="1" t="s">
        <v>429</v>
      </c>
      <c r="I735" s="1" t="s">
        <v>1665</v>
      </c>
      <c r="J735" s="1" t="s">
        <v>1662</v>
      </c>
      <c r="K735" s="1" t="s">
        <v>1612</v>
      </c>
      <c r="L735" s="1" t="s">
        <v>155</v>
      </c>
      <c r="M735" s="1" t="s">
        <v>51</v>
      </c>
      <c r="N735" s="1"/>
      <c r="O735" s="1">
        <f t="shared" si="11"/>
        <v>1</v>
      </c>
      <c r="P735" s="1" t="s">
        <v>465</v>
      </c>
    </row>
    <row r="736" spans="1:16" ht="69.25" customHeight="1">
      <c r="A736" s="1" t="s">
        <v>50</v>
      </c>
      <c r="B736" s="1" t="s">
        <v>58</v>
      </c>
      <c r="C736" s="1">
        <v>2023</v>
      </c>
      <c r="D736" s="1" t="s">
        <v>61</v>
      </c>
      <c r="E736" s="1" t="s">
        <v>86</v>
      </c>
      <c r="F736" s="1" t="s">
        <v>87</v>
      </c>
      <c r="G736" s="1">
        <v>1</v>
      </c>
      <c r="H736" s="1" t="s">
        <v>429</v>
      </c>
      <c r="I736" s="1" t="s">
        <v>1666</v>
      </c>
      <c r="J736" s="1" t="s">
        <v>1662</v>
      </c>
      <c r="K736" s="1" t="s">
        <v>1612</v>
      </c>
      <c r="L736" s="1" t="s">
        <v>155</v>
      </c>
      <c r="M736" s="1" t="s">
        <v>51</v>
      </c>
      <c r="N736" s="1"/>
      <c r="O736" s="1">
        <f t="shared" si="11"/>
        <v>1</v>
      </c>
      <c r="P736" s="1" t="s">
        <v>467</v>
      </c>
    </row>
    <row r="737" spans="1:16" ht="69.25" customHeight="1">
      <c r="A737" s="1" t="s">
        <v>50</v>
      </c>
      <c r="B737" s="1" t="s">
        <v>58</v>
      </c>
      <c r="C737" s="1">
        <v>2023</v>
      </c>
      <c r="D737" s="1" t="s">
        <v>61</v>
      </c>
      <c r="E737" s="1" t="s">
        <v>90</v>
      </c>
      <c r="F737" s="1" t="s">
        <v>91</v>
      </c>
      <c r="G737" s="1">
        <v>1</v>
      </c>
      <c r="H737" s="1" t="s">
        <v>429</v>
      </c>
      <c r="I737" s="1" t="s">
        <v>1667</v>
      </c>
      <c r="J737" s="1" t="s">
        <v>1662</v>
      </c>
      <c r="K737" s="1" t="s">
        <v>990</v>
      </c>
      <c r="L737" s="1" t="s">
        <v>155</v>
      </c>
      <c r="M737" s="1" t="s">
        <v>51</v>
      </c>
      <c r="N737" s="1"/>
      <c r="O737" s="1">
        <f t="shared" si="11"/>
        <v>1</v>
      </c>
      <c r="P737" s="1" t="s">
        <v>526</v>
      </c>
    </row>
    <row r="738" spans="1:16" ht="69.25" customHeight="1">
      <c r="A738" s="1" t="s">
        <v>50</v>
      </c>
      <c r="B738" s="1" t="s">
        <v>58</v>
      </c>
      <c r="C738" s="1">
        <v>2023</v>
      </c>
      <c r="D738" s="1" t="s">
        <v>61</v>
      </c>
      <c r="E738" s="1" t="s">
        <v>94</v>
      </c>
      <c r="F738" s="1" t="s">
        <v>95</v>
      </c>
      <c r="G738" s="1">
        <v>0</v>
      </c>
      <c r="H738" s="1" t="s">
        <v>434</v>
      </c>
      <c r="I738" s="1" t="s">
        <v>1668</v>
      </c>
      <c r="J738" s="1" t="s">
        <v>1662</v>
      </c>
      <c r="K738" s="1" t="s">
        <v>1504</v>
      </c>
      <c r="L738" s="1" t="s">
        <v>155</v>
      </c>
      <c r="M738" s="1" t="s">
        <v>51</v>
      </c>
      <c r="N738" s="1"/>
      <c r="O738" s="1">
        <f t="shared" si="11"/>
        <v>0</v>
      </c>
      <c r="P738" s="1" t="s">
        <v>795</v>
      </c>
    </row>
    <row r="739" spans="1:16" ht="69.25" customHeight="1">
      <c r="A739" s="1" t="s">
        <v>50</v>
      </c>
      <c r="B739" s="1" t="s">
        <v>58</v>
      </c>
      <c r="C739" s="1">
        <v>2023</v>
      </c>
      <c r="D739" s="1" t="s">
        <v>61</v>
      </c>
      <c r="E739" s="1" t="s">
        <v>98</v>
      </c>
      <c r="F739" s="1" t="s">
        <v>99</v>
      </c>
      <c r="G739" s="1">
        <v>1</v>
      </c>
      <c r="H739" s="1" t="s">
        <v>429</v>
      </c>
      <c r="I739" s="1" t="s">
        <v>1669</v>
      </c>
      <c r="J739" s="1" t="s">
        <v>1662</v>
      </c>
      <c r="K739" s="1" t="s">
        <v>984</v>
      </c>
      <c r="L739" s="1" t="s">
        <v>155</v>
      </c>
      <c r="M739" s="1" t="s">
        <v>51</v>
      </c>
      <c r="N739" s="1"/>
      <c r="O739" s="1">
        <f t="shared" si="11"/>
        <v>1</v>
      </c>
      <c r="P739" s="1" t="s">
        <v>451</v>
      </c>
    </row>
    <row r="740" spans="1:16" ht="69.25" customHeight="1">
      <c r="A740" s="1" t="s">
        <v>50</v>
      </c>
      <c r="B740" s="1" t="s">
        <v>58</v>
      </c>
      <c r="C740" s="1">
        <v>2023</v>
      </c>
      <c r="D740" s="1" t="s">
        <v>61</v>
      </c>
      <c r="E740" s="1" t="s">
        <v>102</v>
      </c>
      <c r="F740" s="1" t="s">
        <v>103</v>
      </c>
      <c r="G740" s="1">
        <v>1</v>
      </c>
      <c r="H740" s="1" t="s">
        <v>429</v>
      </c>
      <c r="I740" s="1" t="s">
        <v>1670</v>
      </c>
      <c r="J740" s="1" t="s">
        <v>1662</v>
      </c>
      <c r="K740" s="1" t="s">
        <v>689</v>
      </c>
      <c r="L740" s="1" t="s">
        <v>155</v>
      </c>
      <c r="M740" s="1" t="s">
        <v>51</v>
      </c>
      <c r="N740" s="1"/>
      <c r="O740" s="1">
        <f t="shared" si="11"/>
        <v>1</v>
      </c>
      <c r="P740" s="1" t="s">
        <v>475</v>
      </c>
    </row>
    <row r="741" spans="1:16" ht="69.25" customHeight="1">
      <c r="A741" s="1" t="s">
        <v>50</v>
      </c>
      <c r="B741" s="1" t="s">
        <v>58</v>
      </c>
      <c r="C741" s="1">
        <v>2023</v>
      </c>
      <c r="D741" s="1" t="s">
        <v>61</v>
      </c>
      <c r="E741" s="1" t="s">
        <v>106</v>
      </c>
      <c r="F741" s="1" t="s">
        <v>107</v>
      </c>
      <c r="G741" s="1">
        <v>0</v>
      </c>
      <c r="H741" s="1" t="s">
        <v>445</v>
      </c>
      <c r="I741" s="1" t="s">
        <v>1671</v>
      </c>
      <c r="J741" s="1" t="s">
        <v>1662</v>
      </c>
      <c r="K741" s="1" t="s">
        <v>555</v>
      </c>
      <c r="L741" s="1" t="s">
        <v>155</v>
      </c>
      <c r="M741" s="1" t="s">
        <v>51</v>
      </c>
      <c r="N741" s="1"/>
      <c r="O741" s="1">
        <f t="shared" si="11"/>
        <v>0</v>
      </c>
      <c r="P741" s="1" t="s">
        <v>448</v>
      </c>
    </row>
    <row r="742" spans="1:16" ht="69.25" customHeight="1">
      <c r="A742" s="1" t="s">
        <v>50</v>
      </c>
      <c r="B742" s="1" t="s">
        <v>58</v>
      </c>
      <c r="C742" s="1">
        <v>2024</v>
      </c>
      <c r="D742" s="1" t="s">
        <v>61</v>
      </c>
      <c r="E742" s="1" t="s">
        <v>70</v>
      </c>
      <c r="F742" s="1" t="s">
        <v>71</v>
      </c>
      <c r="G742" s="1">
        <v>1</v>
      </c>
      <c r="H742" s="1" t="s">
        <v>429</v>
      </c>
      <c r="I742" s="1" t="s">
        <v>1672</v>
      </c>
      <c r="J742" s="1" t="s">
        <v>1673</v>
      </c>
      <c r="K742" s="1" t="s">
        <v>696</v>
      </c>
      <c r="L742" s="1" t="s">
        <v>155</v>
      </c>
      <c r="M742" s="1" t="s">
        <v>51</v>
      </c>
      <c r="N742" s="1"/>
      <c r="O742" s="1">
        <f t="shared" si="11"/>
        <v>1</v>
      </c>
      <c r="P742" s="1" t="s">
        <v>433</v>
      </c>
    </row>
    <row r="743" spans="1:16" ht="69.25" customHeight="1">
      <c r="A743" s="1" t="s">
        <v>50</v>
      </c>
      <c r="B743" s="1" t="s">
        <v>58</v>
      </c>
      <c r="C743" s="1">
        <v>2024</v>
      </c>
      <c r="D743" s="1" t="s">
        <v>61</v>
      </c>
      <c r="E743" s="1" t="s">
        <v>74</v>
      </c>
      <c r="F743" s="1" t="s">
        <v>75</v>
      </c>
      <c r="G743" s="1">
        <v>0</v>
      </c>
      <c r="H743" s="1" t="s">
        <v>434</v>
      </c>
      <c r="I743" s="1" t="s">
        <v>1674</v>
      </c>
      <c r="J743" s="1" t="s">
        <v>1673</v>
      </c>
      <c r="K743" s="1" t="s">
        <v>788</v>
      </c>
      <c r="L743" s="1" t="s">
        <v>155</v>
      </c>
      <c r="M743" s="1" t="s">
        <v>51</v>
      </c>
      <c r="N743" s="1"/>
      <c r="O743" s="1">
        <f t="shared" si="11"/>
        <v>0</v>
      </c>
      <c r="P743" s="1" t="s">
        <v>437</v>
      </c>
    </row>
    <row r="744" spans="1:16" ht="69.25" customHeight="1">
      <c r="A744" s="1" t="s">
        <v>50</v>
      </c>
      <c r="B744" s="1" t="s">
        <v>58</v>
      </c>
      <c r="C744" s="1">
        <v>2024</v>
      </c>
      <c r="D744" s="1" t="s">
        <v>61</v>
      </c>
      <c r="E744" s="1" t="s">
        <v>78</v>
      </c>
      <c r="F744" s="1" t="s">
        <v>79</v>
      </c>
      <c r="G744" s="1">
        <v>1</v>
      </c>
      <c r="H744" s="1" t="s">
        <v>429</v>
      </c>
      <c r="I744" s="1" t="s">
        <v>1675</v>
      </c>
      <c r="J744" s="1" t="s">
        <v>1673</v>
      </c>
      <c r="K744" s="1" t="s">
        <v>696</v>
      </c>
      <c r="L744" s="1" t="s">
        <v>155</v>
      </c>
      <c r="M744" s="1" t="s">
        <v>51</v>
      </c>
      <c r="N744" s="1"/>
      <c r="O744" s="1">
        <f t="shared" si="11"/>
        <v>1</v>
      </c>
      <c r="P744" s="1" t="s">
        <v>915</v>
      </c>
    </row>
    <row r="745" spans="1:16" ht="69.25" customHeight="1">
      <c r="A745" s="1" t="s">
        <v>50</v>
      </c>
      <c r="B745" s="1" t="s">
        <v>58</v>
      </c>
      <c r="C745" s="1">
        <v>2024</v>
      </c>
      <c r="D745" s="1" t="s">
        <v>61</v>
      </c>
      <c r="E745" s="1" t="s">
        <v>82</v>
      </c>
      <c r="F745" s="1" t="s">
        <v>83</v>
      </c>
      <c r="G745" s="1">
        <v>1</v>
      </c>
      <c r="H745" s="1" t="s">
        <v>429</v>
      </c>
      <c r="I745" s="1" t="s">
        <v>1676</v>
      </c>
      <c r="J745" s="1" t="s">
        <v>1673</v>
      </c>
      <c r="K745" s="1" t="s">
        <v>788</v>
      </c>
      <c r="L745" s="1" t="s">
        <v>155</v>
      </c>
      <c r="M745" s="1" t="s">
        <v>51</v>
      </c>
      <c r="N745" s="1"/>
      <c r="O745" s="1">
        <f t="shared" si="11"/>
        <v>1</v>
      </c>
      <c r="P745" s="1" t="s">
        <v>465</v>
      </c>
    </row>
    <row r="746" spans="1:16" ht="69.25" customHeight="1">
      <c r="A746" s="1" t="s">
        <v>50</v>
      </c>
      <c r="B746" s="1" t="s">
        <v>58</v>
      </c>
      <c r="C746" s="1">
        <v>2024</v>
      </c>
      <c r="D746" s="1" t="s">
        <v>61</v>
      </c>
      <c r="E746" s="1" t="s">
        <v>86</v>
      </c>
      <c r="F746" s="1" t="s">
        <v>87</v>
      </c>
      <c r="G746" s="1">
        <v>1</v>
      </c>
      <c r="H746" s="1" t="s">
        <v>429</v>
      </c>
      <c r="I746" s="1" t="s">
        <v>1677</v>
      </c>
      <c r="J746" s="1" t="s">
        <v>1673</v>
      </c>
      <c r="K746" s="1" t="s">
        <v>788</v>
      </c>
      <c r="L746" s="1" t="s">
        <v>155</v>
      </c>
      <c r="M746" s="1" t="s">
        <v>51</v>
      </c>
      <c r="N746" s="1"/>
      <c r="O746" s="1">
        <f t="shared" si="11"/>
        <v>1</v>
      </c>
      <c r="P746" s="1" t="s">
        <v>467</v>
      </c>
    </row>
    <row r="747" spans="1:16" ht="69.25" customHeight="1">
      <c r="A747" s="1" t="s">
        <v>50</v>
      </c>
      <c r="B747" s="1" t="s">
        <v>58</v>
      </c>
      <c r="C747" s="1">
        <v>2024</v>
      </c>
      <c r="D747" s="1" t="s">
        <v>61</v>
      </c>
      <c r="E747" s="1" t="s">
        <v>90</v>
      </c>
      <c r="F747" s="1" t="s">
        <v>91</v>
      </c>
      <c r="G747" s="1">
        <v>1</v>
      </c>
      <c r="H747" s="1" t="s">
        <v>429</v>
      </c>
      <c r="I747" s="1" t="s">
        <v>1676</v>
      </c>
      <c r="J747" s="1" t="s">
        <v>1673</v>
      </c>
      <c r="K747" s="1" t="s">
        <v>788</v>
      </c>
      <c r="L747" s="1" t="s">
        <v>155</v>
      </c>
      <c r="M747" s="1" t="s">
        <v>51</v>
      </c>
      <c r="N747" s="1"/>
      <c r="O747" s="1">
        <f t="shared" si="11"/>
        <v>1</v>
      </c>
      <c r="P747" s="1" t="s">
        <v>526</v>
      </c>
    </row>
    <row r="748" spans="1:16" ht="69.25" customHeight="1">
      <c r="A748" s="1" t="s">
        <v>50</v>
      </c>
      <c r="B748" s="1" t="s">
        <v>58</v>
      </c>
      <c r="C748" s="1">
        <v>2024</v>
      </c>
      <c r="D748" s="1" t="s">
        <v>61</v>
      </c>
      <c r="E748" s="1" t="s">
        <v>94</v>
      </c>
      <c r="F748" s="1" t="s">
        <v>95</v>
      </c>
      <c r="G748" s="1">
        <v>0</v>
      </c>
      <c r="H748" s="1" t="s">
        <v>445</v>
      </c>
      <c r="I748" s="1" t="s">
        <v>1678</v>
      </c>
      <c r="J748" s="1" t="s">
        <v>1673</v>
      </c>
      <c r="K748" s="1" t="s">
        <v>530</v>
      </c>
      <c r="L748" s="1" t="s">
        <v>155</v>
      </c>
      <c r="M748" s="1" t="s">
        <v>51</v>
      </c>
      <c r="N748" s="1"/>
      <c r="O748" s="1">
        <f t="shared" si="11"/>
        <v>0</v>
      </c>
      <c r="P748" s="1" t="s">
        <v>448</v>
      </c>
    </row>
    <row r="749" spans="1:16" ht="69.25" customHeight="1">
      <c r="A749" s="1" t="s">
        <v>50</v>
      </c>
      <c r="B749" s="1" t="s">
        <v>58</v>
      </c>
      <c r="C749" s="1">
        <v>2024</v>
      </c>
      <c r="D749" s="1" t="s">
        <v>61</v>
      </c>
      <c r="E749" s="1" t="s">
        <v>98</v>
      </c>
      <c r="F749" s="1" t="s">
        <v>99</v>
      </c>
      <c r="G749" s="1">
        <v>1</v>
      </c>
      <c r="H749" s="1" t="s">
        <v>429</v>
      </c>
      <c r="I749" s="1" t="s">
        <v>1679</v>
      </c>
      <c r="J749" s="1" t="s">
        <v>1673</v>
      </c>
      <c r="K749" s="1" t="s">
        <v>1013</v>
      </c>
      <c r="L749" s="1" t="s">
        <v>155</v>
      </c>
      <c r="M749" s="1" t="s">
        <v>51</v>
      </c>
      <c r="N749" s="1"/>
      <c r="O749" s="1">
        <f t="shared" si="11"/>
        <v>1</v>
      </c>
      <c r="P749" s="1" t="s">
        <v>451</v>
      </c>
    </row>
    <row r="750" spans="1:16" ht="69.25" customHeight="1">
      <c r="A750" s="1" t="s">
        <v>50</v>
      </c>
      <c r="B750" s="1" t="s">
        <v>58</v>
      </c>
      <c r="C750" s="1">
        <v>2024</v>
      </c>
      <c r="D750" s="1" t="s">
        <v>61</v>
      </c>
      <c r="E750" s="1" t="s">
        <v>102</v>
      </c>
      <c r="F750" s="1" t="s">
        <v>103</v>
      </c>
      <c r="G750" s="1">
        <v>1</v>
      </c>
      <c r="H750" s="1" t="s">
        <v>429</v>
      </c>
      <c r="I750" s="1" t="s">
        <v>1680</v>
      </c>
      <c r="J750" s="1" t="s">
        <v>1673</v>
      </c>
      <c r="K750" s="1" t="s">
        <v>788</v>
      </c>
      <c r="L750" s="1" t="s">
        <v>155</v>
      </c>
      <c r="M750" s="1" t="s">
        <v>51</v>
      </c>
      <c r="N750" s="1"/>
      <c r="O750" s="1">
        <f t="shared" si="11"/>
        <v>1</v>
      </c>
      <c r="P750" s="1" t="s">
        <v>475</v>
      </c>
    </row>
    <row r="751" spans="1:16" ht="69.25" customHeight="1">
      <c r="A751" s="1" t="s">
        <v>50</v>
      </c>
      <c r="B751" s="1" t="s">
        <v>58</v>
      </c>
      <c r="C751" s="1">
        <v>2024</v>
      </c>
      <c r="D751" s="1" t="s">
        <v>61</v>
      </c>
      <c r="E751" s="1" t="s">
        <v>106</v>
      </c>
      <c r="F751" s="1" t="s">
        <v>107</v>
      </c>
      <c r="G751" s="1">
        <v>0</v>
      </c>
      <c r="H751" s="1" t="s">
        <v>434</v>
      </c>
      <c r="I751" s="1" t="s">
        <v>1681</v>
      </c>
      <c r="J751" s="1" t="s">
        <v>1673</v>
      </c>
      <c r="K751" s="1" t="s">
        <v>1682</v>
      </c>
      <c r="L751" s="1" t="s">
        <v>155</v>
      </c>
      <c r="M751" s="1" t="s">
        <v>51</v>
      </c>
      <c r="N751" s="1"/>
      <c r="O751" s="1">
        <f t="shared" si="11"/>
        <v>0</v>
      </c>
      <c r="P751" s="1" t="s">
        <v>454</v>
      </c>
    </row>
    <row r="752" spans="1:16" ht="69.25" customHeight="1">
      <c r="A752" s="1" t="s">
        <v>50</v>
      </c>
      <c r="B752" s="1" t="s">
        <v>58</v>
      </c>
      <c r="C752" s="1">
        <v>2025</v>
      </c>
      <c r="D752" s="1" t="s">
        <v>61</v>
      </c>
      <c r="E752" s="1" t="s">
        <v>70</v>
      </c>
      <c r="F752" s="1" t="s">
        <v>71</v>
      </c>
      <c r="G752" s="1">
        <v>1</v>
      </c>
      <c r="H752" s="1" t="s">
        <v>429</v>
      </c>
      <c r="I752" s="1" t="s">
        <v>1683</v>
      </c>
      <c r="J752" s="1" t="s">
        <v>1684</v>
      </c>
      <c r="K752" s="1" t="s">
        <v>606</v>
      </c>
      <c r="L752" s="1" t="s">
        <v>155</v>
      </c>
      <c r="M752" s="1" t="s">
        <v>51</v>
      </c>
      <c r="N752" s="1"/>
      <c r="O752" s="1">
        <f t="shared" si="11"/>
        <v>1</v>
      </c>
      <c r="P752" s="1" t="s">
        <v>433</v>
      </c>
    </row>
    <row r="753" spans="1:16" ht="69.25" customHeight="1">
      <c r="A753" s="1" t="s">
        <v>50</v>
      </c>
      <c r="B753" s="1" t="s">
        <v>58</v>
      </c>
      <c r="C753" s="1">
        <v>2025</v>
      </c>
      <c r="D753" s="1" t="s">
        <v>61</v>
      </c>
      <c r="E753" s="1" t="s">
        <v>74</v>
      </c>
      <c r="F753" s="1" t="s">
        <v>75</v>
      </c>
      <c r="G753" s="1">
        <v>0</v>
      </c>
      <c r="H753" s="1" t="s">
        <v>434</v>
      </c>
      <c r="I753" s="1" t="s">
        <v>1685</v>
      </c>
      <c r="J753" s="1" t="s">
        <v>1684</v>
      </c>
      <c r="K753" s="1" t="s">
        <v>528</v>
      </c>
      <c r="L753" s="1" t="s">
        <v>155</v>
      </c>
      <c r="M753" s="1" t="s">
        <v>51</v>
      </c>
      <c r="N753" s="1"/>
      <c r="O753" s="1">
        <f t="shared" si="11"/>
        <v>0</v>
      </c>
      <c r="P753" s="1" t="s">
        <v>437</v>
      </c>
    </row>
    <row r="754" spans="1:16" ht="69.25" customHeight="1">
      <c r="A754" s="1" t="s">
        <v>50</v>
      </c>
      <c r="B754" s="1" t="s">
        <v>58</v>
      </c>
      <c r="C754" s="1">
        <v>2025</v>
      </c>
      <c r="D754" s="1" t="s">
        <v>61</v>
      </c>
      <c r="E754" s="1" t="s">
        <v>78</v>
      </c>
      <c r="F754" s="1" t="s">
        <v>79</v>
      </c>
      <c r="G754" s="1">
        <v>1</v>
      </c>
      <c r="H754" s="1" t="s">
        <v>429</v>
      </c>
      <c r="I754" s="1" t="s">
        <v>1686</v>
      </c>
      <c r="J754" s="1" t="s">
        <v>1684</v>
      </c>
      <c r="K754" s="1" t="s">
        <v>687</v>
      </c>
      <c r="L754" s="1" t="s">
        <v>155</v>
      </c>
      <c r="M754" s="1" t="s">
        <v>51</v>
      </c>
      <c r="N754" s="1"/>
      <c r="O754" s="1">
        <f t="shared" si="11"/>
        <v>1</v>
      </c>
      <c r="P754" s="1" t="s">
        <v>915</v>
      </c>
    </row>
    <row r="755" spans="1:16" ht="69.25" customHeight="1">
      <c r="A755" s="1" t="s">
        <v>50</v>
      </c>
      <c r="B755" s="1" t="s">
        <v>58</v>
      </c>
      <c r="C755" s="1">
        <v>2025</v>
      </c>
      <c r="D755" s="1" t="s">
        <v>61</v>
      </c>
      <c r="E755" s="1" t="s">
        <v>82</v>
      </c>
      <c r="F755" s="1" t="s">
        <v>83</v>
      </c>
      <c r="G755" s="1">
        <v>0</v>
      </c>
      <c r="H755" s="1" t="s">
        <v>445</v>
      </c>
      <c r="I755" s="1" t="s">
        <v>1687</v>
      </c>
      <c r="J755" s="1" t="s">
        <v>1684</v>
      </c>
      <c r="K755" s="1" t="s">
        <v>528</v>
      </c>
      <c r="L755" s="1" t="s">
        <v>155</v>
      </c>
      <c r="M755" s="1" t="s">
        <v>51</v>
      </c>
      <c r="N755" s="1"/>
      <c r="O755" s="1">
        <f t="shared" si="11"/>
        <v>0</v>
      </c>
      <c r="P755" s="1" t="s">
        <v>448</v>
      </c>
    </row>
    <row r="756" spans="1:16" ht="69.25" customHeight="1">
      <c r="A756" s="1" t="s">
        <v>50</v>
      </c>
      <c r="B756" s="1" t="s">
        <v>58</v>
      </c>
      <c r="C756" s="1">
        <v>2025</v>
      </c>
      <c r="D756" s="1" t="s">
        <v>61</v>
      </c>
      <c r="E756" s="1" t="s">
        <v>86</v>
      </c>
      <c r="F756" s="1" t="s">
        <v>87</v>
      </c>
      <c r="G756" s="1">
        <v>1</v>
      </c>
      <c r="H756" s="1" t="s">
        <v>429</v>
      </c>
      <c r="I756" s="1" t="s">
        <v>1688</v>
      </c>
      <c r="J756" s="1" t="s">
        <v>1684</v>
      </c>
      <c r="K756" s="1" t="s">
        <v>528</v>
      </c>
      <c r="L756" s="1" t="s">
        <v>155</v>
      </c>
      <c r="M756" s="1" t="s">
        <v>51</v>
      </c>
      <c r="N756" s="1"/>
      <c r="O756" s="1">
        <f t="shared" si="11"/>
        <v>1</v>
      </c>
      <c r="P756" s="1" t="s">
        <v>467</v>
      </c>
    </row>
    <row r="757" spans="1:16" ht="69.25" customHeight="1">
      <c r="A757" s="1" t="s">
        <v>50</v>
      </c>
      <c r="B757" s="1" t="s">
        <v>58</v>
      </c>
      <c r="C757" s="1">
        <v>2025</v>
      </c>
      <c r="D757" s="1" t="s">
        <v>61</v>
      </c>
      <c r="E757" s="1" t="s">
        <v>90</v>
      </c>
      <c r="F757" s="1" t="s">
        <v>91</v>
      </c>
      <c r="G757" s="1">
        <v>1</v>
      </c>
      <c r="H757" s="1" t="s">
        <v>429</v>
      </c>
      <c r="I757" s="1" t="s">
        <v>1687</v>
      </c>
      <c r="J757" s="1" t="s">
        <v>1684</v>
      </c>
      <c r="K757" s="1" t="s">
        <v>528</v>
      </c>
      <c r="L757" s="1" t="s">
        <v>155</v>
      </c>
      <c r="M757" s="1" t="s">
        <v>51</v>
      </c>
      <c r="N757" s="1"/>
      <c r="O757" s="1">
        <f t="shared" si="11"/>
        <v>1</v>
      </c>
      <c r="P757" s="1" t="s">
        <v>526</v>
      </c>
    </row>
    <row r="758" spans="1:16" ht="69.25" customHeight="1">
      <c r="A758" s="1" t="s">
        <v>50</v>
      </c>
      <c r="B758" s="1" t="s">
        <v>58</v>
      </c>
      <c r="C758" s="1">
        <v>2025</v>
      </c>
      <c r="D758" s="1" t="s">
        <v>61</v>
      </c>
      <c r="E758" s="1" t="s">
        <v>94</v>
      </c>
      <c r="F758" s="1" t="s">
        <v>95</v>
      </c>
      <c r="G758" s="1">
        <v>0</v>
      </c>
      <c r="H758" s="1" t="s">
        <v>445</v>
      </c>
      <c r="I758" s="1" t="s">
        <v>1689</v>
      </c>
      <c r="J758" s="1" t="s">
        <v>1684</v>
      </c>
      <c r="K758" s="1" t="s">
        <v>459</v>
      </c>
      <c r="L758" s="1" t="s">
        <v>155</v>
      </c>
      <c r="M758" s="1" t="s">
        <v>51</v>
      </c>
      <c r="N758" s="1"/>
      <c r="O758" s="1">
        <f t="shared" si="11"/>
        <v>0</v>
      </c>
      <c r="P758" s="1" t="s">
        <v>448</v>
      </c>
    </row>
    <row r="759" spans="1:16" ht="69.25" customHeight="1">
      <c r="A759" s="1" t="s">
        <v>50</v>
      </c>
      <c r="B759" s="1" t="s">
        <v>58</v>
      </c>
      <c r="C759" s="1">
        <v>2025</v>
      </c>
      <c r="D759" s="1" t="s">
        <v>61</v>
      </c>
      <c r="E759" s="1" t="s">
        <v>98</v>
      </c>
      <c r="F759" s="1" t="s">
        <v>99</v>
      </c>
      <c r="G759" s="1">
        <v>1</v>
      </c>
      <c r="H759" s="1" t="s">
        <v>429</v>
      </c>
      <c r="I759" s="1" t="s">
        <v>1690</v>
      </c>
      <c r="J759" s="1" t="s">
        <v>1684</v>
      </c>
      <c r="K759" s="1" t="s">
        <v>1603</v>
      </c>
      <c r="L759" s="1" t="s">
        <v>155</v>
      </c>
      <c r="M759" s="1" t="s">
        <v>51</v>
      </c>
      <c r="N759" s="1"/>
      <c r="O759" s="1">
        <f t="shared" si="11"/>
        <v>1</v>
      </c>
      <c r="P759" s="1" t="s">
        <v>451</v>
      </c>
    </row>
    <row r="760" spans="1:16" ht="69.25" customHeight="1">
      <c r="A760" s="1" t="s">
        <v>50</v>
      </c>
      <c r="B760" s="1" t="s">
        <v>58</v>
      </c>
      <c r="C760" s="1">
        <v>2025</v>
      </c>
      <c r="D760" s="1" t="s">
        <v>61</v>
      </c>
      <c r="E760" s="1" t="s">
        <v>102</v>
      </c>
      <c r="F760" s="1" t="s">
        <v>103</v>
      </c>
      <c r="G760" s="1">
        <v>1</v>
      </c>
      <c r="H760" s="1" t="s">
        <v>429</v>
      </c>
      <c r="I760" s="1" t="s">
        <v>1691</v>
      </c>
      <c r="J760" s="1" t="s">
        <v>1684</v>
      </c>
      <c r="K760" s="1" t="s">
        <v>528</v>
      </c>
      <c r="L760" s="1" t="s">
        <v>155</v>
      </c>
      <c r="M760" s="1" t="s">
        <v>51</v>
      </c>
      <c r="N760" s="1"/>
      <c r="O760" s="1">
        <f t="shared" si="11"/>
        <v>1</v>
      </c>
      <c r="P760" s="1" t="s">
        <v>475</v>
      </c>
    </row>
    <row r="761" spans="1:16" ht="69.25" customHeight="1">
      <c r="A761" s="1" t="s">
        <v>50</v>
      </c>
      <c r="B761" s="1" t="s">
        <v>58</v>
      </c>
      <c r="C761" s="1">
        <v>2025</v>
      </c>
      <c r="D761" s="1" t="s">
        <v>61</v>
      </c>
      <c r="E761" s="1" t="s">
        <v>106</v>
      </c>
      <c r="F761" s="1" t="s">
        <v>107</v>
      </c>
      <c r="G761" s="1">
        <v>0</v>
      </c>
      <c r="H761" s="1" t="s">
        <v>434</v>
      </c>
      <c r="I761" s="1" t="s">
        <v>1692</v>
      </c>
      <c r="J761" s="1" t="s">
        <v>1684</v>
      </c>
      <c r="K761" s="1" t="s">
        <v>1693</v>
      </c>
      <c r="L761" s="1" t="s">
        <v>155</v>
      </c>
      <c r="M761" s="1" t="s">
        <v>51</v>
      </c>
      <c r="N761" s="1"/>
      <c r="O761" s="1">
        <f t="shared" si="11"/>
        <v>0</v>
      </c>
      <c r="P761" s="1" t="s">
        <v>454</v>
      </c>
    </row>
    <row r="762" spans="1:16" ht="69.25" customHeight="1">
      <c r="A762" s="1" t="s">
        <v>50</v>
      </c>
      <c r="B762" s="1" t="s">
        <v>62</v>
      </c>
      <c r="C762" s="1">
        <v>2022</v>
      </c>
      <c r="D762" s="1" t="s">
        <v>65</v>
      </c>
      <c r="E762" s="1" t="s">
        <v>70</v>
      </c>
      <c r="F762" s="1" t="s">
        <v>71</v>
      </c>
      <c r="G762" s="1">
        <v>1</v>
      </c>
      <c r="H762" s="1" t="s">
        <v>429</v>
      </c>
      <c r="I762" s="1" t="s">
        <v>1694</v>
      </c>
      <c r="J762" s="1" t="s">
        <v>1695</v>
      </c>
      <c r="K762" s="1" t="s">
        <v>1407</v>
      </c>
      <c r="L762" s="1" t="s">
        <v>157</v>
      </c>
      <c r="M762" s="1" t="s">
        <v>51</v>
      </c>
      <c r="N762" s="1"/>
      <c r="O762" s="1">
        <f t="shared" si="11"/>
        <v>1</v>
      </c>
      <c r="P762" s="1" t="s">
        <v>433</v>
      </c>
    </row>
    <row r="763" spans="1:16" ht="69.25" customHeight="1">
      <c r="A763" s="1" t="s">
        <v>50</v>
      </c>
      <c r="B763" s="1" t="s">
        <v>62</v>
      </c>
      <c r="C763" s="1">
        <v>2022</v>
      </c>
      <c r="D763" s="1" t="s">
        <v>65</v>
      </c>
      <c r="E763" s="1" t="s">
        <v>74</v>
      </c>
      <c r="F763" s="1" t="s">
        <v>75</v>
      </c>
      <c r="G763" s="1">
        <v>0</v>
      </c>
      <c r="H763" s="1" t="s">
        <v>434</v>
      </c>
      <c r="I763" s="1" t="s">
        <v>1696</v>
      </c>
      <c r="J763" s="1" t="s">
        <v>1695</v>
      </c>
      <c r="K763" s="1" t="s">
        <v>938</v>
      </c>
      <c r="L763" s="1" t="s">
        <v>157</v>
      </c>
      <c r="M763" s="1" t="s">
        <v>51</v>
      </c>
      <c r="N763" s="1"/>
      <c r="O763" s="1">
        <f t="shared" si="11"/>
        <v>0</v>
      </c>
      <c r="P763" s="1" t="s">
        <v>437</v>
      </c>
    </row>
    <row r="764" spans="1:16" ht="69.25" customHeight="1">
      <c r="A764" s="1" t="s">
        <v>50</v>
      </c>
      <c r="B764" s="1" t="s">
        <v>62</v>
      </c>
      <c r="C764" s="1">
        <v>2022</v>
      </c>
      <c r="D764" s="1" t="s">
        <v>65</v>
      </c>
      <c r="E764" s="1" t="s">
        <v>78</v>
      </c>
      <c r="F764" s="1" t="s">
        <v>79</v>
      </c>
      <c r="G764" s="1">
        <v>1</v>
      </c>
      <c r="H764" s="1" t="s">
        <v>429</v>
      </c>
      <c r="I764" s="1" t="s">
        <v>1697</v>
      </c>
      <c r="J764" s="1" t="s">
        <v>1695</v>
      </c>
      <c r="K764" s="1" t="s">
        <v>1698</v>
      </c>
      <c r="L764" s="1" t="s">
        <v>157</v>
      </c>
      <c r="M764" s="1" t="s">
        <v>51</v>
      </c>
      <c r="N764" s="1"/>
      <c r="O764" s="1">
        <f t="shared" si="11"/>
        <v>1</v>
      </c>
      <c r="P764" s="1" t="s">
        <v>915</v>
      </c>
    </row>
    <row r="765" spans="1:16" ht="69.25" customHeight="1">
      <c r="A765" s="1" t="s">
        <v>50</v>
      </c>
      <c r="B765" s="1" t="s">
        <v>62</v>
      </c>
      <c r="C765" s="1">
        <v>2022</v>
      </c>
      <c r="D765" s="1" t="s">
        <v>65</v>
      </c>
      <c r="E765" s="1" t="s">
        <v>82</v>
      </c>
      <c r="F765" s="1" t="s">
        <v>83</v>
      </c>
      <c r="G765" s="1">
        <v>1</v>
      </c>
      <c r="H765" s="1" t="s">
        <v>429</v>
      </c>
      <c r="I765" s="1" t="s">
        <v>1699</v>
      </c>
      <c r="J765" s="1" t="s">
        <v>1700</v>
      </c>
      <c r="K765" s="1" t="s">
        <v>761</v>
      </c>
      <c r="L765" s="1" t="s">
        <v>157</v>
      </c>
      <c r="M765" s="1" t="s">
        <v>51</v>
      </c>
      <c r="N765" s="1"/>
      <c r="O765" s="1">
        <f t="shared" si="11"/>
        <v>1</v>
      </c>
      <c r="P765" s="1" t="s">
        <v>465</v>
      </c>
    </row>
    <row r="766" spans="1:16" ht="69.25" customHeight="1">
      <c r="A766" s="1" t="s">
        <v>50</v>
      </c>
      <c r="B766" s="1" t="s">
        <v>62</v>
      </c>
      <c r="C766" s="1">
        <v>2022</v>
      </c>
      <c r="D766" s="1" t="s">
        <v>65</v>
      </c>
      <c r="E766" s="1" t="s">
        <v>86</v>
      </c>
      <c r="F766" s="1" t="s">
        <v>87</v>
      </c>
      <c r="G766" s="1">
        <v>1</v>
      </c>
      <c r="H766" s="1" t="s">
        <v>429</v>
      </c>
      <c r="I766" s="1" t="s">
        <v>1701</v>
      </c>
      <c r="J766" s="1" t="s">
        <v>1700</v>
      </c>
      <c r="K766" s="1" t="s">
        <v>761</v>
      </c>
      <c r="L766" s="1" t="s">
        <v>157</v>
      </c>
      <c r="M766" s="1" t="s">
        <v>51</v>
      </c>
      <c r="N766" s="1"/>
      <c r="O766" s="1">
        <f t="shared" si="11"/>
        <v>1</v>
      </c>
      <c r="P766" s="1" t="s">
        <v>467</v>
      </c>
    </row>
    <row r="767" spans="1:16" ht="69.25" customHeight="1">
      <c r="A767" s="1" t="s">
        <v>50</v>
      </c>
      <c r="B767" s="1" t="s">
        <v>62</v>
      </c>
      <c r="C767" s="1">
        <v>2022</v>
      </c>
      <c r="D767" s="1" t="s">
        <v>65</v>
      </c>
      <c r="E767" s="1" t="s">
        <v>90</v>
      </c>
      <c r="F767" s="1" t="s">
        <v>91</v>
      </c>
      <c r="G767" s="1">
        <v>1</v>
      </c>
      <c r="H767" s="1" t="s">
        <v>429</v>
      </c>
      <c r="I767" s="1" t="s">
        <v>1699</v>
      </c>
      <c r="J767" s="1" t="s">
        <v>1700</v>
      </c>
      <c r="K767" s="1" t="s">
        <v>761</v>
      </c>
      <c r="L767" s="1" t="s">
        <v>157</v>
      </c>
      <c r="M767" s="1" t="s">
        <v>51</v>
      </c>
      <c r="N767" s="1"/>
      <c r="O767" s="1">
        <f t="shared" si="11"/>
        <v>1</v>
      </c>
      <c r="P767" s="1" t="s">
        <v>526</v>
      </c>
    </row>
    <row r="768" spans="1:16" ht="69.25" customHeight="1">
      <c r="A768" s="1" t="s">
        <v>50</v>
      </c>
      <c r="B768" s="1" t="s">
        <v>62</v>
      </c>
      <c r="C768" s="1">
        <v>2022</v>
      </c>
      <c r="D768" s="1" t="s">
        <v>65</v>
      </c>
      <c r="E768" s="1" t="s">
        <v>94</v>
      </c>
      <c r="F768" s="1" t="s">
        <v>95</v>
      </c>
      <c r="G768" s="1">
        <v>0</v>
      </c>
      <c r="H768" s="1" t="s">
        <v>445</v>
      </c>
      <c r="I768" s="1" t="s">
        <v>1702</v>
      </c>
      <c r="J768" s="1" t="s">
        <v>1695</v>
      </c>
      <c r="K768" s="1" t="s">
        <v>1703</v>
      </c>
      <c r="L768" s="1" t="s">
        <v>157</v>
      </c>
      <c r="M768" s="1" t="s">
        <v>51</v>
      </c>
      <c r="N768" s="1"/>
      <c r="O768" s="1">
        <f t="shared" si="11"/>
        <v>0</v>
      </c>
      <c r="P768" s="1" t="s">
        <v>448</v>
      </c>
    </row>
    <row r="769" spans="1:16" ht="69.25" customHeight="1">
      <c r="A769" s="1" t="s">
        <v>50</v>
      </c>
      <c r="B769" s="1" t="s">
        <v>62</v>
      </c>
      <c r="C769" s="1">
        <v>2022</v>
      </c>
      <c r="D769" s="1" t="s">
        <v>65</v>
      </c>
      <c r="E769" s="1" t="s">
        <v>98</v>
      </c>
      <c r="F769" s="1" t="s">
        <v>99</v>
      </c>
      <c r="G769" s="1">
        <v>0</v>
      </c>
      <c r="H769" s="1" t="s">
        <v>434</v>
      </c>
      <c r="I769" s="1" t="s">
        <v>1704</v>
      </c>
      <c r="J769" s="1" t="s">
        <v>1695</v>
      </c>
      <c r="K769" s="1" t="s">
        <v>1705</v>
      </c>
      <c r="L769" s="1" t="s">
        <v>157</v>
      </c>
      <c r="M769" s="1" t="s">
        <v>51</v>
      </c>
      <c r="N769" s="1"/>
      <c r="O769" s="1">
        <f t="shared" si="11"/>
        <v>0</v>
      </c>
      <c r="P769" s="1" t="s">
        <v>472</v>
      </c>
    </row>
    <row r="770" spans="1:16" ht="69.25" customHeight="1">
      <c r="A770" s="1" t="s">
        <v>50</v>
      </c>
      <c r="B770" s="1" t="s">
        <v>62</v>
      </c>
      <c r="C770" s="1">
        <v>2022</v>
      </c>
      <c r="D770" s="1" t="s">
        <v>65</v>
      </c>
      <c r="E770" s="1" t="s">
        <v>102</v>
      </c>
      <c r="F770" s="1" t="s">
        <v>103</v>
      </c>
      <c r="G770" s="1">
        <v>1</v>
      </c>
      <c r="H770" s="1" t="s">
        <v>429</v>
      </c>
      <c r="I770" s="1" t="s">
        <v>1706</v>
      </c>
      <c r="J770" s="1" t="s">
        <v>1695</v>
      </c>
      <c r="K770" s="1" t="s">
        <v>1282</v>
      </c>
      <c r="L770" s="1" t="s">
        <v>157</v>
      </c>
      <c r="M770" s="1" t="s">
        <v>51</v>
      </c>
      <c r="N770" s="1"/>
      <c r="O770" s="1">
        <f t="shared" ref="O770:O801" si="12">IF(N770&lt;&gt;"",N770,G770)</f>
        <v>1</v>
      </c>
      <c r="P770" s="1" t="s">
        <v>475</v>
      </c>
    </row>
    <row r="771" spans="1:16" ht="69.25" customHeight="1">
      <c r="A771" s="1" t="s">
        <v>50</v>
      </c>
      <c r="B771" s="1" t="s">
        <v>62</v>
      </c>
      <c r="C771" s="1">
        <v>2022</v>
      </c>
      <c r="D771" s="1" t="s">
        <v>65</v>
      </c>
      <c r="E771" s="1" t="s">
        <v>106</v>
      </c>
      <c r="F771" s="1" t="s">
        <v>107</v>
      </c>
      <c r="G771" s="1">
        <v>0</v>
      </c>
      <c r="H771" s="1" t="s">
        <v>445</v>
      </c>
      <c r="I771" s="1" t="s">
        <v>1707</v>
      </c>
      <c r="J771" s="1" t="s">
        <v>1700</v>
      </c>
      <c r="K771" s="1" t="s">
        <v>474</v>
      </c>
      <c r="L771" s="1" t="s">
        <v>157</v>
      </c>
      <c r="M771" s="1" t="s">
        <v>51</v>
      </c>
      <c r="N771" s="1"/>
      <c r="O771" s="1">
        <f t="shared" si="12"/>
        <v>0</v>
      </c>
      <c r="P771" s="1" t="s">
        <v>448</v>
      </c>
    </row>
    <row r="772" spans="1:16" ht="69.25" customHeight="1">
      <c r="A772" s="1" t="s">
        <v>50</v>
      </c>
      <c r="B772" s="1" t="s">
        <v>62</v>
      </c>
      <c r="C772" s="1">
        <v>2023</v>
      </c>
      <c r="D772" s="1" t="s">
        <v>65</v>
      </c>
      <c r="E772" s="1" t="s">
        <v>70</v>
      </c>
      <c r="F772" s="1" t="s">
        <v>71</v>
      </c>
      <c r="G772" s="1">
        <v>0</v>
      </c>
      <c r="H772" s="1" t="s">
        <v>445</v>
      </c>
      <c r="I772" s="1" t="s">
        <v>1708</v>
      </c>
      <c r="J772" s="1" t="s">
        <v>1709</v>
      </c>
      <c r="K772" s="1" t="s">
        <v>1020</v>
      </c>
      <c r="L772" s="1" t="s">
        <v>157</v>
      </c>
      <c r="M772" s="1" t="s">
        <v>51</v>
      </c>
      <c r="N772" s="1"/>
      <c r="O772" s="1">
        <f t="shared" si="12"/>
        <v>0</v>
      </c>
      <c r="P772" s="1" t="s">
        <v>448</v>
      </c>
    </row>
    <row r="773" spans="1:16" ht="69.25" customHeight="1">
      <c r="A773" s="1" t="s">
        <v>50</v>
      </c>
      <c r="B773" s="1" t="s">
        <v>62</v>
      </c>
      <c r="C773" s="1">
        <v>2023</v>
      </c>
      <c r="D773" s="1" t="s">
        <v>65</v>
      </c>
      <c r="E773" s="1" t="s">
        <v>74</v>
      </c>
      <c r="F773" s="1" t="s">
        <v>75</v>
      </c>
      <c r="G773" s="1">
        <v>0</v>
      </c>
      <c r="H773" s="1" t="s">
        <v>434</v>
      </c>
      <c r="I773" s="1" t="s">
        <v>1710</v>
      </c>
      <c r="J773" s="1" t="s">
        <v>1709</v>
      </c>
      <c r="K773" s="1" t="s">
        <v>1302</v>
      </c>
      <c r="L773" s="1" t="s">
        <v>157</v>
      </c>
      <c r="M773" s="1" t="s">
        <v>51</v>
      </c>
      <c r="N773" s="1"/>
      <c r="O773" s="1">
        <f t="shared" si="12"/>
        <v>0</v>
      </c>
      <c r="P773" s="1" t="s">
        <v>437</v>
      </c>
    </row>
    <row r="774" spans="1:16" ht="69.25" customHeight="1">
      <c r="A774" s="1" t="s">
        <v>50</v>
      </c>
      <c r="B774" s="1" t="s">
        <v>62</v>
      </c>
      <c r="C774" s="1">
        <v>2023</v>
      </c>
      <c r="D774" s="1" t="s">
        <v>65</v>
      </c>
      <c r="E774" s="1" t="s">
        <v>78</v>
      </c>
      <c r="F774" s="1" t="s">
        <v>79</v>
      </c>
      <c r="G774" s="1">
        <v>1</v>
      </c>
      <c r="H774" s="1" t="s">
        <v>429</v>
      </c>
      <c r="I774" s="1" t="s">
        <v>1711</v>
      </c>
      <c r="J774" s="1" t="s">
        <v>1709</v>
      </c>
      <c r="K774" s="1" t="s">
        <v>459</v>
      </c>
      <c r="L774" s="1" t="s">
        <v>157</v>
      </c>
      <c r="M774" s="1" t="s">
        <v>51</v>
      </c>
      <c r="N774" s="1"/>
      <c r="O774" s="1">
        <f t="shared" si="12"/>
        <v>1</v>
      </c>
      <c r="P774" s="1" t="s">
        <v>915</v>
      </c>
    </row>
    <row r="775" spans="1:16" ht="69.25" customHeight="1">
      <c r="A775" s="1" t="s">
        <v>50</v>
      </c>
      <c r="B775" s="1" t="s">
        <v>62</v>
      </c>
      <c r="C775" s="1">
        <v>2023</v>
      </c>
      <c r="D775" s="1" t="s">
        <v>65</v>
      </c>
      <c r="E775" s="1" t="s">
        <v>82</v>
      </c>
      <c r="F775" s="1" t="s">
        <v>83</v>
      </c>
      <c r="G775" s="1">
        <v>1</v>
      </c>
      <c r="H775" s="1" t="s">
        <v>429</v>
      </c>
      <c r="I775" s="1" t="s">
        <v>1712</v>
      </c>
      <c r="J775" s="1" t="s">
        <v>1709</v>
      </c>
      <c r="K775" s="1" t="s">
        <v>1713</v>
      </c>
      <c r="L775" s="1" t="s">
        <v>157</v>
      </c>
      <c r="M775" s="1" t="s">
        <v>51</v>
      </c>
      <c r="N775" s="1"/>
      <c r="O775" s="1">
        <f t="shared" si="12"/>
        <v>1</v>
      </c>
      <c r="P775" s="1" t="s">
        <v>465</v>
      </c>
    </row>
    <row r="776" spans="1:16" ht="69.25" customHeight="1">
      <c r="A776" s="1" t="s">
        <v>50</v>
      </c>
      <c r="B776" s="1" t="s">
        <v>62</v>
      </c>
      <c r="C776" s="1">
        <v>2023</v>
      </c>
      <c r="D776" s="1" t="s">
        <v>65</v>
      </c>
      <c r="E776" s="1" t="s">
        <v>86</v>
      </c>
      <c r="F776" s="1" t="s">
        <v>87</v>
      </c>
      <c r="G776" s="1">
        <v>1</v>
      </c>
      <c r="H776" s="1" t="s">
        <v>429</v>
      </c>
      <c r="I776" s="1" t="s">
        <v>1714</v>
      </c>
      <c r="J776" s="1" t="s">
        <v>1709</v>
      </c>
      <c r="K776" s="1" t="s">
        <v>1713</v>
      </c>
      <c r="L776" s="1" t="s">
        <v>157</v>
      </c>
      <c r="M776" s="1" t="s">
        <v>51</v>
      </c>
      <c r="N776" s="1"/>
      <c r="O776" s="1">
        <f t="shared" si="12"/>
        <v>1</v>
      </c>
      <c r="P776" s="1" t="s">
        <v>467</v>
      </c>
    </row>
    <row r="777" spans="1:16" ht="69.25" customHeight="1">
      <c r="A777" s="1" t="s">
        <v>50</v>
      </c>
      <c r="B777" s="1" t="s">
        <v>62</v>
      </c>
      <c r="C777" s="1">
        <v>2023</v>
      </c>
      <c r="D777" s="1" t="s">
        <v>65</v>
      </c>
      <c r="E777" s="1" t="s">
        <v>90</v>
      </c>
      <c r="F777" s="1" t="s">
        <v>91</v>
      </c>
      <c r="G777" s="1">
        <v>1</v>
      </c>
      <c r="H777" s="1" t="s">
        <v>429</v>
      </c>
      <c r="I777" s="1" t="s">
        <v>1712</v>
      </c>
      <c r="J777" s="1" t="s">
        <v>1709</v>
      </c>
      <c r="K777" s="1" t="s">
        <v>1713</v>
      </c>
      <c r="L777" s="1" t="s">
        <v>157</v>
      </c>
      <c r="M777" s="1" t="s">
        <v>51</v>
      </c>
      <c r="N777" s="1"/>
      <c r="O777" s="1">
        <f t="shared" si="12"/>
        <v>1</v>
      </c>
      <c r="P777" s="1" t="s">
        <v>526</v>
      </c>
    </row>
    <row r="778" spans="1:16" ht="69.25" customHeight="1">
      <c r="A778" s="1" t="s">
        <v>50</v>
      </c>
      <c r="B778" s="1" t="s">
        <v>62</v>
      </c>
      <c r="C778" s="1">
        <v>2023</v>
      </c>
      <c r="D778" s="1" t="s">
        <v>65</v>
      </c>
      <c r="E778" s="1" t="s">
        <v>94</v>
      </c>
      <c r="F778" s="1" t="s">
        <v>95</v>
      </c>
      <c r="G778" s="1">
        <v>0</v>
      </c>
      <c r="H778" s="1" t="s">
        <v>445</v>
      </c>
      <c r="I778" s="1" t="s">
        <v>1715</v>
      </c>
      <c r="J778" s="1" t="s">
        <v>1709</v>
      </c>
      <c r="K778" s="1" t="s">
        <v>1716</v>
      </c>
      <c r="L778" s="1" t="s">
        <v>157</v>
      </c>
      <c r="M778" s="1" t="s">
        <v>51</v>
      </c>
      <c r="N778" s="1"/>
      <c r="O778" s="1">
        <f t="shared" si="12"/>
        <v>0</v>
      </c>
      <c r="P778" s="1" t="s">
        <v>448</v>
      </c>
    </row>
    <row r="779" spans="1:16" ht="69.25" customHeight="1">
      <c r="A779" s="1" t="s">
        <v>50</v>
      </c>
      <c r="B779" s="1" t="s">
        <v>62</v>
      </c>
      <c r="C779" s="1">
        <v>2023</v>
      </c>
      <c r="D779" s="1" t="s">
        <v>65</v>
      </c>
      <c r="E779" s="1" t="s">
        <v>98</v>
      </c>
      <c r="F779" s="1" t="s">
        <v>99</v>
      </c>
      <c r="G779" s="1">
        <v>0</v>
      </c>
      <c r="H779" s="1" t="s">
        <v>434</v>
      </c>
      <c r="I779" s="1" t="s">
        <v>1717</v>
      </c>
      <c r="J779" s="1" t="s">
        <v>1709</v>
      </c>
      <c r="K779" s="1" t="s">
        <v>1698</v>
      </c>
      <c r="L779" s="1" t="s">
        <v>157</v>
      </c>
      <c r="M779" s="1" t="s">
        <v>51</v>
      </c>
      <c r="N779" s="1"/>
      <c r="O779" s="1">
        <f t="shared" si="12"/>
        <v>0</v>
      </c>
      <c r="P779" s="1" t="s">
        <v>472</v>
      </c>
    </row>
    <row r="780" spans="1:16" ht="69.25" customHeight="1">
      <c r="A780" s="1" t="s">
        <v>50</v>
      </c>
      <c r="B780" s="1" t="s">
        <v>62</v>
      </c>
      <c r="C780" s="1">
        <v>2023</v>
      </c>
      <c r="D780" s="1" t="s">
        <v>65</v>
      </c>
      <c r="E780" s="1" t="s">
        <v>102</v>
      </c>
      <c r="F780" s="1" t="s">
        <v>103</v>
      </c>
      <c r="G780" s="1">
        <v>0</v>
      </c>
      <c r="H780" s="1" t="s">
        <v>434</v>
      </c>
      <c r="I780" s="1" t="s">
        <v>1718</v>
      </c>
      <c r="J780" s="1" t="s">
        <v>1709</v>
      </c>
      <c r="K780" s="1" t="s">
        <v>1719</v>
      </c>
      <c r="L780" s="1" t="s">
        <v>157</v>
      </c>
      <c r="M780" s="1" t="s">
        <v>51</v>
      </c>
      <c r="N780" s="1"/>
      <c r="O780" s="1">
        <f t="shared" si="12"/>
        <v>0</v>
      </c>
      <c r="P780" s="1" t="s">
        <v>452</v>
      </c>
    </row>
    <row r="781" spans="1:16" ht="69.25" customHeight="1">
      <c r="A781" s="1" t="s">
        <v>50</v>
      </c>
      <c r="B781" s="1" t="s">
        <v>62</v>
      </c>
      <c r="C781" s="1">
        <v>2023</v>
      </c>
      <c r="D781" s="1" t="s">
        <v>65</v>
      </c>
      <c r="E781" s="1" t="s">
        <v>106</v>
      </c>
      <c r="F781" s="1" t="s">
        <v>107</v>
      </c>
      <c r="G781" s="1">
        <v>0</v>
      </c>
      <c r="H781" s="1" t="s">
        <v>445</v>
      </c>
      <c r="I781" s="1" t="s">
        <v>1720</v>
      </c>
      <c r="J781" s="1" t="s">
        <v>1709</v>
      </c>
      <c r="K781" s="1" t="s">
        <v>1721</v>
      </c>
      <c r="L781" s="1" t="s">
        <v>157</v>
      </c>
      <c r="M781" s="1" t="s">
        <v>51</v>
      </c>
      <c r="N781" s="1"/>
      <c r="O781" s="1">
        <f t="shared" si="12"/>
        <v>0</v>
      </c>
      <c r="P781" s="1" t="s">
        <v>448</v>
      </c>
    </row>
    <row r="782" spans="1:16" ht="69.25" customHeight="1">
      <c r="A782" s="1" t="s">
        <v>50</v>
      </c>
      <c r="B782" s="1" t="s">
        <v>62</v>
      </c>
      <c r="C782" s="1">
        <v>2024</v>
      </c>
      <c r="D782" s="1" t="s">
        <v>65</v>
      </c>
      <c r="E782" s="1" t="s">
        <v>70</v>
      </c>
      <c r="F782" s="1" t="s">
        <v>71</v>
      </c>
      <c r="G782" s="1">
        <v>0</v>
      </c>
      <c r="H782" s="1" t="s">
        <v>445</v>
      </c>
      <c r="I782" s="1" t="s">
        <v>1722</v>
      </c>
      <c r="J782" s="1" t="s">
        <v>1723</v>
      </c>
      <c r="K782" s="1" t="s">
        <v>1644</v>
      </c>
      <c r="L782" s="1" t="s">
        <v>157</v>
      </c>
      <c r="M782" s="1" t="s">
        <v>51</v>
      </c>
      <c r="N782" s="1"/>
      <c r="O782" s="1">
        <f t="shared" si="12"/>
        <v>0</v>
      </c>
      <c r="P782" s="1" t="s">
        <v>448</v>
      </c>
    </row>
    <row r="783" spans="1:16" ht="69.25" customHeight="1">
      <c r="A783" s="1" t="s">
        <v>50</v>
      </c>
      <c r="B783" s="1" t="s">
        <v>62</v>
      </c>
      <c r="C783" s="1">
        <v>2024</v>
      </c>
      <c r="D783" s="1" t="s">
        <v>65</v>
      </c>
      <c r="E783" s="1" t="s">
        <v>74</v>
      </c>
      <c r="F783" s="1" t="s">
        <v>75</v>
      </c>
      <c r="G783" s="1">
        <v>0</v>
      </c>
      <c r="H783" s="1" t="s">
        <v>434</v>
      </c>
      <c r="I783" s="1" t="s">
        <v>1724</v>
      </c>
      <c r="J783" s="1" t="s">
        <v>1723</v>
      </c>
      <c r="K783" s="1" t="s">
        <v>1725</v>
      </c>
      <c r="L783" s="1" t="s">
        <v>157</v>
      </c>
      <c r="M783" s="1" t="s">
        <v>51</v>
      </c>
      <c r="N783" s="1"/>
      <c r="O783" s="1">
        <f t="shared" si="12"/>
        <v>0</v>
      </c>
      <c r="P783" s="1" t="s">
        <v>437</v>
      </c>
    </row>
    <row r="784" spans="1:16" ht="69.25" customHeight="1">
      <c r="A784" s="1" t="s">
        <v>50</v>
      </c>
      <c r="B784" s="1" t="s">
        <v>62</v>
      </c>
      <c r="C784" s="1">
        <v>2024</v>
      </c>
      <c r="D784" s="1" t="s">
        <v>65</v>
      </c>
      <c r="E784" s="1" t="s">
        <v>78</v>
      </c>
      <c r="F784" s="1" t="s">
        <v>79</v>
      </c>
      <c r="G784" s="1">
        <v>1</v>
      </c>
      <c r="H784" s="1" t="s">
        <v>429</v>
      </c>
      <c r="I784" s="1" t="s">
        <v>1726</v>
      </c>
      <c r="J784" s="1" t="s">
        <v>1723</v>
      </c>
      <c r="K784" s="1" t="s">
        <v>767</v>
      </c>
      <c r="L784" s="1" t="s">
        <v>157</v>
      </c>
      <c r="M784" s="1" t="s">
        <v>51</v>
      </c>
      <c r="N784" s="1"/>
      <c r="O784" s="1">
        <f t="shared" si="12"/>
        <v>1</v>
      </c>
      <c r="P784" s="1" t="s">
        <v>915</v>
      </c>
    </row>
    <row r="785" spans="1:16" ht="69.25" customHeight="1">
      <c r="A785" s="1" t="s">
        <v>50</v>
      </c>
      <c r="B785" s="1" t="s">
        <v>62</v>
      </c>
      <c r="C785" s="1">
        <v>2024</v>
      </c>
      <c r="D785" s="1" t="s">
        <v>65</v>
      </c>
      <c r="E785" s="1" t="s">
        <v>82</v>
      </c>
      <c r="F785" s="1" t="s">
        <v>83</v>
      </c>
      <c r="G785" s="1">
        <v>1</v>
      </c>
      <c r="H785" s="1" t="s">
        <v>429</v>
      </c>
      <c r="I785" s="1" t="s">
        <v>1727</v>
      </c>
      <c r="J785" s="1" t="s">
        <v>1723</v>
      </c>
      <c r="K785" s="1" t="s">
        <v>1728</v>
      </c>
      <c r="L785" s="1" t="s">
        <v>157</v>
      </c>
      <c r="M785" s="1" t="s">
        <v>51</v>
      </c>
      <c r="N785" s="1"/>
      <c r="O785" s="1">
        <f t="shared" si="12"/>
        <v>1</v>
      </c>
      <c r="P785" s="1" t="s">
        <v>465</v>
      </c>
    </row>
    <row r="786" spans="1:16" ht="69.25" customHeight="1">
      <c r="A786" s="1" t="s">
        <v>50</v>
      </c>
      <c r="B786" s="1" t="s">
        <v>62</v>
      </c>
      <c r="C786" s="1">
        <v>2024</v>
      </c>
      <c r="D786" s="1" t="s">
        <v>65</v>
      </c>
      <c r="E786" s="1" t="s">
        <v>86</v>
      </c>
      <c r="F786" s="1" t="s">
        <v>87</v>
      </c>
      <c r="G786" s="1">
        <v>1</v>
      </c>
      <c r="H786" s="1" t="s">
        <v>429</v>
      </c>
      <c r="I786" s="1" t="s">
        <v>1729</v>
      </c>
      <c r="J786" s="1" t="s">
        <v>1723</v>
      </c>
      <c r="K786" s="1" t="s">
        <v>1728</v>
      </c>
      <c r="L786" s="1" t="s">
        <v>157</v>
      </c>
      <c r="M786" s="1" t="s">
        <v>51</v>
      </c>
      <c r="N786" s="1"/>
      <c r="O786" s="1">
        <f t="shared" si="12"/>
        <v>1</v>
      </c>
      <c r="P786" s="1" t="s">
        <v>467</v>
      </c>
    </row>
    <row r="787" spans="1:16" ht="69.25" customHeight="1">
      <c r="A787" s="1" t="s">
        <v>50</v>
      </c>
      <c r="B787" s="1" t="s">
        <v>62</v>
      </c>
      <c r="C787" s="1">
        <v>2024</v>
      </c>
      <c r="D787" s="1" t="s">
        <v>65</v>
      </c>
      <c r="E787" s="1" t="s">
        <v>90</v>
      </c>
      <c r="F787" s="1" t="s">
        <v>91</v>
      </c>
      <c r="G787" s="1">
        <v>1</v>
      </c>
      <c r="H787" s="1" t="s">
        <v>429</v>
      </c>
      <c r="I787" s="1" t="s">
        <v>1727</v>
      </c>
      <c r="J787" s="1" t="s">
        <v>1723</v>
      </c>
      <c r="K787" s="1" t="s">
        <v>1728</v>
      </c>
      <c r="L787" s="1" t="s">
        <v>157</v>
      </c>
      <c r="M787" s="1" t="s">
        <v>51</v>
      </c>
      <c r="N787" s="1"/>
      <c r="O787" s="1">
        <f t="shared" si="12"/>
        <v>1</v>
      </c>
      <c r="P787" s="1" t="s">
        <v>526</v>
      </c>
    </row>
    <row r="788" spans="1:16" ht="69.25" customHeight="1">
      <c r="A788" s="1" t="s">
        <v>50</v>
      </c>
      <c r="B788" s="1" t="s">
        <v>62</v>
      </c>
      <c r="C788" s="1">
        <v>2024</v>
      </c>
      <c r="D788" s="1" t="s">
        <v>65</v>
      </c>
      <c r="E788" s="1" t="s">
        <v>94</v>
      </c>
      <c r="F788" s="1" t="s">
        <v>95</v>
      </c>
      <c r="G788" s="1">
        <v>0</v>
      </c>
      <c r="H788" s="1" t="s">
        <v>445</v>
      </c>
      <c r="I788" s="1" t="s">
        <v>1730</v>
      </c>
      <c r="J788" s="1" t="s">
        <v>1723</v>
      </c>
      <c r="K788" s="1" t="s">
        <v>1731</v>
      </c>
      <c r="L788" s="1" t="s">
        <v>157</v>
      </c>
      <c r="M788" s="1" t="s">
        <v>51</v>
      </c>
      <c r="N788" s="1"/>
      <c r="O788" s="1">
        <f t="shared" si="12"/>
        <v>0</v>
      </c>
      <c r="P788" s="1" t="s">
        <v>448</v>
      </c>
    </row>
    <row r="789" spans="1:16" ht="69.25" customHeight="1">
      <c r="A789" s="1" t="s">
        <v>50</v>
      </c>
      <c r="B789" s="1" t="s">
        <v>62</v>
      </c>
      <c r="C789" s="1">
        <v>2024</v>
      </c>
      <c r="D789" s="1" t="s">
        <v>65</v>
      </c>
      <c r="E789" s="1" t="s">
        <v>98</v>
      </c>
      <c r="F789" s="1" t="s">
        <v>99</v>
      </c>
      <c r="G789" s="1">
        <v>1</v>
      </c>
      <c r="H789" s="1" t="s">
        <v>429</v>
      </c>
      <c r="I789" s="1" t="s">
        <v>1732</v>
      </c>
      <c r="J789" s="1" t="s">
        <v>1723</v>
      </c>
      <c r="K789" s="1" t="s">
        <v>1733</v>
      </c>
      <c r="L789" s="1" t="s">
        <v>157</v>
      </c>
      <c r="M789" s="1" t="s">
        <v>51</v>
      </c>
      <c r="N789" s="1"/>
      <c r="O789" s="1">
        <f t="shared" si="12"/>
        <v>1</v>
      </c>
      <c r="P789" s="1" t="s">
        <v>451</v>
      </c>
    </row>
    <row r="790" spans="1:16" ht="69.25" customHeight="1">
      <c r="A790" s="1" t="s">
        <v>50</v>
      </c>
      <c r="B790" s="1" t="s">
        <v>62</v>
      </c>
      <c r="C790" s="1">
        <v>2024</v>
      </c>
      <c r="D790" s="1" t="s">
        <v>65</v>
      </c>
      <c r="E790" s="1" t="s">
        <v>102</v>
      </c>
      <c r="F790" s="1" t="s">
        <v>103</v>
      </c>
      <c r="G790" s="1">
        <v>0</v>
      </c>
      <c r="H790" s="1" t="s">
        <v>445</v>
      </c>
      <c r="I790" s="1" t="s">
        <v>1734</v>
      </c>
      <c r="J790" s="1" t="s">
        <v>1723</v>
      </c>
      <c r="K790" s="1" t="s">
        <v>1725</v>
      </c>
      <c r="L790" s="1" t="s">
        <v>157</v>
      </c>
      <c r="M790" s="1" t="s">
        <v>51</v>
      </c>
      <c r="N790" s="1"/>
      <c r="O790" s="1">
        <f t="shared" si="12"/>
        <v>0</v>
      </c>
      <c r="P790" s="1" t="s">
        <v>448</v>
      </c>
    </row>
    <row r="791" spans="1:16" ht="69.25" customHeight="1">
      <c r="A791" s="1" t="s">
        <v>50</v>
      </c>
      <c r="B791" s="1" t="s">
        <v>62</v>
      </c>
      <c r="C791" s="1">
        <v>2024</v>
      </c>
      <c r="D791" s="1" t="s">
        <v>65</v>
      </c>
      <c r="E791" s="1" t="s">
        <v>106</v>
      </c>
      <c r="F791" s="1" t="s">
        <v>107</v>
      </c>
      <c r="G791" s="1">
        <v>0</v>
      </c>
      <c r="H791" s="1" t="s">
        <v>445</v>
      </c>
      <c r="I791" s="1" t="s">
        <v>1735</v>
      </c>
      <c r="J791" s="1" t="s">
        <v>1723</v>
      </c>
      <c r="K791" s="1" t="s">
        <v>1736</v>
      </c>
      <c r="L791" s="1" t="s">
        <v>157</v>
      </c>
      <c r="M791" s="1" t="s">
        <v>51</v>
      </c>
      <c r="N791" s="1"/>
      <c r="O791" s="1">
        <f t="shared" si="12"/>
        <v>0</v>
      </c>
      <c r="P791" s="1" t="s">
        <v>448</v>
      </c>
    </row>
    <row r="792" spans="1:16" ht="69.25" customHeight="1">
      <c r="A792" s="1" t="s">
        <v>50</v>
      </c>
      <c r="B792" s="1" t="s">
        <v>62</v>
      </c>
      <c r="C792" s="1">
        <v>2025</v>
      </c>
      <c r="D792" s="1" t="s">
        <v>65</v>
      </c>
      <c r="E792" s="1" t="s">
        <v>70</v>
      </c>
      <c r="F792" s="1" t="s">
        <v>71</v>
      </c>
      <c r="G792" s="1">
        <v>1</v>
      </c>
      <c r="H792" s="1" t="s">
        <v>429</v>
      </c>
      <c r="I792" s="1" t="s">
        <v>1737</v>
      </c>
      <c r="J792" s="1" t="s">
        <v>1738</v>
      </c>
      <c r="K792" s="1" t="s">
        <v>1167</v>
      </c>
      <c r="L792" s="1" t="s">
        <v>157</v>
      </c>
      <c r="M792" s="1" t="s">
        <v>51</v>
      </c>
      <c r="N792" s="1"/>
      <c r="O792" s="1">
        <f t="shared" si="12"/>
        <v>1</v>
      </c>
      <c r="P792" s="1" t="s">
        <v>433</v>
      </c>
    </row>
    <row r="793" spans="1:16" ht="69.25" customHeight="1">
      <c r="A793" s="1" t="s">
        <v>50</v>
      </c>
      <c r="B793" s="1" t="s">
        <v>62</v>
      </c>
      <c r="C793" s="1">
        <v>2025</v>
      </c>
      <c r="D793" s="1" t="s">
        <v>65</v>
      </c>
      <c r="E793" s="1" t="s">
        <v>74</v>
      </c>
      <c r="F793" s="1" t="s">
        <v>75</v>
      </c>
      <c r="G793" s="1">
        <v>1</v>
      </c>
      <c r="H793" s="1" t="s">
        <v>429</v>
      </c>
      <c r="I793" s="1" t="s">
        <v>1739</v>
      </c>
      <c r="J793" s="1" t="s">
        <v>1738</v>
      </c>
      <c r="K793" s="1" t="s">
        <v>1740</v>
      </c>
      <c r="L793" s="1" t="s">
        <v>157</v>
      </c>
      <c r="M793" s="1" t="s">
        <v>51</v>
      </c>
      <c r="N793" s="1"/>
      <c r="O793" s="1">
        <f t="shared" si="12"/>
        <v>1</v>
      </c>
      <c r="P793" s="1" t="s">
        <v>460</v>
      </c>
    </row>
    <row r="794" spans="1:16" ht="69.25" customHeight="1">
      <c r="A794" s="1" t="s">
        <v>50</v>
      </c>
      <c r="B794" s="1" t="s">
        <v>62</v>
      </c>
      <c r="C794" s="1">
        <v>2025</v>
      </c>
      <c r="D794" s="1" t="s">
        <v>65</v>
      </c>
      <c r="E794" s="1" t="s">
        <v>78</v>
      </c>
      <c r="F794" s="1" t="s">
        <v>79</v>
      </c>
      <c r="G794" s="1">
        <v>1</v>
      </c>
      <c r="H794" s="1" t="s">
        <v>429</v>
      </c>
      <c r="I794" s="1" t="s">
        <v>1741</v>
      </c>
      <c r="J794" s="1" t="s">
        <v>1738</v>
      </c>
      <c r="K794" s="1" t="s">
        <v>1172</v>
      </c>
      <c r="L794" s="1" t="s">
        <v>157</v>
      </c>
      <c r="M794" s="1" t="s">
        <v>51</v>
      </c>
      <c r="N794" s="1"/>
      <c r="O794" s="1">
        <f t="shared" si="12"/>
        <v>1</v>
      </c>
      <c r="P794" s="1" t="s">
        <v>915</v>
      </c>
    </row>
    <row r="795" spans="1:16" ht="69.25" customHeight="1">
      <c r="A795" s="1" t="s">
        <v>50</v>
      </c>
      <c r="B795" s="1" t="s">
        <v>62</v>
      </c>
      <c r="C795" s="1">
        <v>2025</v>
      </c>
      <c r="D795" s="1" t="s">
        <v>65</v>
      </c>
      <c r="E795" s="1" t="s">
        <v>82</v>
      </c>
      <c r="F795" s="1" t="s">
        <v>83</v>
      </c>
      <c r="G795" s="1">
        <v>0</v>
      </c>
      <c r="H795" s="1" t="s">
        <v>445</v>
      </c>
      <c r="I795" s="1" t="s">
        <v>1742</v>
      </c>
      <c r="J795" s="1" t="s">
        <v>1738</v>
      </c>
      <c r="K795" s="1" t="s">
        <v>1703</v>
      </c>
      <c r="L795" s="1" t="s">
        <v>157</v>
      </c>
      <c r="M795" s="1" t="s">
        <v>51</v>
      </c>
      <c r="N795" s="1"/>
      <c r="O795" s="1">
        <f t="shared" si="12"/>
        <v>0</v>
      </c>
      <c r="P795" s="1" t="s">
        <v>448</v>
      </c>
    </row>
    <row r="796" spans="1:16" ht="69.25" customHeight="1">
      <c r="A796" s="1" t="s">
        <v>50</v>
      </c>
      <c r="B796" s="1" t="s">
        <v>62</v>
      </c>
      <c r="C796" s="1">
        <v>2025</v>
      </c>
      <c r="D796" s="1" t="s">
        <v>65</v>
      </c>
      <c r="E796" s="1" t="s">
        <v>86</v>
      </c>
      <c r="F796" s="1" t="s">
        <v>87</v>
      </c>
      <c r="G796" s="1">
        <v>1</v>
      </c>
      <c r="H796" s="1" t="s">
        <v>429</v>
      </c>
      <c r="I796" s="1" t="s">
        <v>1743</v>
      </c>
      <c r="J796" s="1" t="s">
        <v>1738</v>
      </c>
      <c r="K796" s="1" t="s">
        <v>1703</v>
      </c>
      <c r="L796" s="1" t="s">
        <v>157</v>
      </c>
      <c r="M796" s="1" t="s">
        <v>51</v>
      </c>
      <c r="N796" s="1"/>
      <c r="O796" s="1">
        <f t="shared" si="12"/>
        <v>1</v>
      </c>
      <c r="P796" s="1" t="s">
        <v>467</v>
      </c>
    </row>
    <row r="797" spans="1:16" ht="69.25" customHeight="1">
      <c r="A797" s="1" t="s">
        <v>50</v>
      </c>
      <c r="B797" s="1" t="s">
        <v>62</v>
      </c>
      <c r="C797" s="1">
        <v>2025</v>
      </c>
      <c r="D797" s="1" t="s">
        <v>65</v>
      </c>
      <c r="E797" s="1" t="s">
        <v>90</v>
      </c>
      <c r="F797" s="1" t="s">
        <v>91</v>
      </c>
      <c r="G797" s="1">
        <v>0</v>
      </c>
      <c r="H797" s="1" t="s">
        <v>445</v>
      </c>
      <c r="I797" s="1" t="s">
        <v>1742</v>
      </c>
      <c r="J797" s="1" t="s">
        <v>1738</v>
      </c>
      <c r="K797" s="1" t="s">
        <v>1703</v>
      </c>
      <c r="L797" s="1" t="s">
        <v>157</v>
      </c>
      <c r="M797" s="1" t="s">
        <v>51</v>
      </c>
      <c r="N797" s="1"/>
      <c r="O797" s="1">
        <f t="shared" si="12"/>
        <v>0</v>
      </c>
      <c r="P797" s="1" t="s">
        <v>448</v>
      </c>
    </row>
    <row r="798" spans="1:16" ht="69.25" customHeight="1">
      <c r="A798" s="1" t="s">
        <v>50</v>
      </c>
      <c r="B798" s="1" t="s">
        <v>62</v>
      </c>
      <c r="C798" s="1">
        <v>2025</v>
      </c>
      <c r="D798" s="1" t="s">
        <v>65</v>
      </c>
      <c r="E798" s="1" t="s">
        <v>94</v>
      </c>
      <c r="F798" s="1" t="s">
        <v>95</v>
      </c>
      <c r="G798" s="1">
        <v>1</v>
      </c>
      <c r="H798" s="1" t="s">
        <v>429</v>
      </c>
      <c r="I798" s="1" t="s">
        <v>1744</v>
      </c>
      <c r="J798" s="1" t="s">
        <v>1738</v>
      </c>
      <c r="K798" s="1" t="s">
        <v>1745</v>
      </c>
      <c r="L798" s="1" t="s">
        <v>157</v>
      </c>
      <c r="M798" s="1" t="s">
        <v>51</v>
      </c>
      <c r="N798" s="1"/>
      <c r="O798" s="1">
        <f t="shared" si="12"/>
        <v>1</v>
      </c>
      <c r="P798" s="1" t="s">
        <v>643</v>
      </c>
    </row>
    <row r="799" spans="1:16" ht="69.25" customHeight="1">
      <c r="A799" s="1" t="s">
        <v>50</v>
      </c>
      <c r="B799" s="1" t="s">
        <v>62</v>
      </c>
      <c r="C799" s="1">
        <v>2025</v>
      </c>
      <c r="D799" s="1" t="s">
        <v>65</v>
      </c>
      <c r="E799" s="1" t="s">
        <v>98</v>
      </c>
      <c r="F799" s="1" t="s">
        <v>99</v>
      </c>
      <c r="G799" s="1">
        <v>0</v>
      </c>
      <c r="H799" s="1" t="s">
        <v>434</v>
      </c>
      <c r="I799" s="1" t="s">
        <v>1746</v>
      </c>
      <c r="J799" s="1" t="s">
        <v>1738</v>
      </c>
      <c r="K799" s="1" t="s">
        <v>1747</v>
      </c>
      <c r="L799" s="1" t="s">
        <v>157</v>
      </c>
      <c r="M799" s="1" t="s">
        <v>51</v>
      </c>
      <c r="N799" s="1"/>
      <c r="O799" s="1">
        <f t="shared" si="12"/>
        <v>0</v>
      </c>
      <c r="P799" s="1" t="s">
        <v>472</v>
      </c>
    </row>
    <row r="800" spans="1:16" ht="69.25" customHeight="1">
      <c r="A800" s="1" t="s">
        <v>50</v>
      </c>
      <c r="B800" s="1" t="s">
        <v>62</v>
      </c>
      <c r="C800" s="1">
        <v>2025</v>
      </c>
      <c r="D800" s="1" t="s">
        <v>65</v>
      </c>
      <c r="E800" s="1" t="s">
        <v>102</v>
      </c>
      <c r="F800" s="1" t="s">
        <v>103</v>
      </c>
      <c r="G800" s="1">
        <v>1</v>
      </c>
      <c r="H800" s="1" t="s">
        <v>429</v>
      </c>
      <c r="I800" s="1" t="s">
        <v>1748</v>
      </c>
      <c r="J800" s="1" t="s">
        <v>1738</v>
      </c>
      <c r="K800" s="1" t="s">
        <v>1740</v>
      </c>
      <c r="L800" s="1" t="s">
        <v>157</v>
      </c>
      <c r="M800" s="1" t="s">
        <v>51</v>
      </c>
      <c r="N800" s="1"/>
      <c r="O800" s="1">
        <f t="shared" si="12"/>
        <v>1</v>
      </c>
      <c r="P800" s="1" t="s">
        <v>475</v>
      </c>
    </row>
    <row r="801" spans="1:16" ht="69.25" customHeight="1">
      <c r="A801" s="1" t="s">
        <v>50</v>
      </c>
      <c r="B801" s="1" t="s">
        <v>62</v>
      </c>
      <c r="C801" s="1">
        <v>2025</v>
      </c>
      <c r="D801" s="1" t="s">
        <v>65</v>
      </c>
      <c r="E801" s="1" t="s">
        <v>106</v>
      </c>
      <c r="F801" s="1" t="s">
        <v>107</v>
      </c>
      <c r="G801" s="1">
        <v>0</v>
      </c>
      <c r="H801" s="1" t="s">
        <v>434</v>
      </c>
      <c r="I801" s="1" t="s">
        <v>1749</v>
      </c>
      <c r="J801" s="1" t="s">
        <v>1738</v>
      </c>
      <c r="K801" s="1" t="s">
        <v>548</v>
      </c>
      <c r="L801" s="1" t="s">
        <v>157</v>
      </c>
      <c r="M801" s="1" t="s">
        <v>51</v>
      </c>
      <c r="N801" s="1"/>
      <c r="O801" s="1">
        <f t="shared" si="12"/>
        <v>0</v>
      </c>
      <c r="P801" s="1" t="s">
        <v>454</v>
      </c>
    </row>
  </sheetData>
  <conditionalFormatting sqref="H2:H801">
    <cfRule type="expression" dxfId="1" priority="1">
      <formula>ISNUMBER(SEARCH("recheck",H2))</formula>
    </cfRule>
  </conditionalFormatting>
  <conditionalFormatting sqref="M2:M801">
    <cfRule type="expression" dxfId="0" priority="2">
      <formula>M2="Yes"</formula>
    </cfRule>
  </conditionalFormatting>
  <dataValidations count="2">
    <dataValidation type="list" sqref="G2:G801 N2:N801" xr:uid="{00000000-0002-0000-0500-000000000000}">
      <formula1>"0,1"</formula1>
    </dataValidation>
    <dataValidation type="list" sqref="M2:M801" xr:uid="{00000000-0002-0000-0500-000001000000}">
      <formula1>"No,Yes"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1"/>
  <sheetViews>
    <sheetView workbookViewId="0"/>
  </sheetViews>
  <sheetFormatPr baseColWidth="10" defaultColWidth="8.83203125" defaultRowHeight="14"/>
  <cols>
    <col min="1" max="1" width="24" customWidth="1"/>
    <col min="2" max="2" width="14" customWidth="1"/>
    <col min="3" max="3" width="9" customWidth="1"/>
    <col min="4" max="4" width="18" customWidth="1"/>
    <col min="5" max="6" width="16" customWidth="1"/>
    <col min="7" max="7" width="22" customWidth="1"/>
    <col min="8" max="10" width="20" customWidth="1"/>
  </cols>
  <sheetData>
    <row r="1" spans="1:10" ht="32">
      <c r="A1" s="2" t="s">
        <v>4</v>
      </c>
      <c r="B1" s="2" t="s">
        <v>1</v>
      </c>
      <c r="C1" s="2" t="s">
        <v>159</v>
      </c>
      <c r="D1" s="2" t="s">
        <v>1750</v>
      </c>
      <c r="E1" s="2" t="s">
        <v>1751</v>
      </c>
      <c r="F1" s="2" t="s">
        <v>1752</v>
      </c>
      <c r="G1" s="5" t="s">
        <v>1753</v>
      </c>
      <c r="H1" s="5" t="s">
        <v>1754</v>
      </c>
      <c r="I1" s="5" t="s">
        <v>1755</v>
      </c>
      <c r="J1" s="2" t="s">
        <v>1756</v>
      </c>
    </row>
    <row r="2" spans="1:10">
      <c r="A2" t="s">
        <v>9</v>
      </c>
      <c r="B2" t="s">
        <v>5</v>
      </c>
      <c r="C2">
        <v>2022</v>
      </c>
      <c r="D2">
        <f>COUNTIFS(Coding_800!$B$2:$B$801,B2,Coding_800!$C$2:$C$801,C2,Coding_800!$M$2:$M$801,"Yes")</f>
        <v>0</v>
      </c>
      <c r="E2">
        <f>SUMIFS(Coding_800!$O$2:$O$801,Coding_800!$B$2:$B$801,B2,Coding_800!$C$2:$C$801,C2)</f>
        <v>2</v>
      </c>
      <c r="F2" s="3">
        <f t="shared" ref="F2:F33" si="0">E2*10</f>
        <v>20</v>
      </c>
      <c r="G2" s="3">
        <f>COUNTIFS(Coding_800!$B$2:$B$801,B2,Coding_800!$C$2:$C$801,C2,Coding_800!$G$2:$G$801,"&gt;=0")</f>
        <v>10</v>
      </c>
      <c r="H2" s="3">
        <f>SUMIFS(Coding_800!$G$2:$G$801,Coding_800!$B$2:$B$801,B2,Coding_800!$C$2:$C$801,C2)</f>
        <v>2</v>
      </c>
      <c r="I2" s="3">
        <f t="shared" ref="I2:I33" si="1">H2*10</f>
        <v>20</v>
      </c>
      <c r="J2" t="str">
        <f t="shared" ref="J2:J33" si="2">IF(D2=10,"Yes - researcher verified","Provisional - researcher check pending")</f>
        <v>Provisional - researcher check pending</v>
      </c>
    </row>
    <row r="3" spans="1:10">
      <c r="A3" t="s">
        <v>9</v>
      </c>
      <c r="B3" t="s">
        <v>5</v>
      </c>
      <c r="C3">
        <v>2023</v>
      </c>
      <c r="D3">
        <f>COUNTIFS(Coding_800!$B$2:$B$801,B3,Coding_800!$C$2:$C$801,C3,Coding_800!$M$2:$M$801,"Yes")</f>
        <v>0</v>
      </c>
      <c r="E3">
        <f>SUMIFS(Coding_800!$O$2:$O$801,Coding_800!$B$2:$B$801,B3,Coding_800!$C$2:$C$801,C3)</f>
        <v>4</v>
      </c>
      <c r="F3" s="3">
        <f t="shared" si="0"/>
        <v>40</v>
      </c>
      <c r="G3" s="3">
        <f>COUNTIFS(Coding_800!$B$2:$B$801,B3,Coding_800!$C$2:$C$801,C3,Coding_800!$G$2:$G$801,"&gt;=0")</f>
        <v>10</v>
      </c>
      <c r="H3" s="3">
        <f>SUMIFS(Coding_800!$G$2:$G$801,Coding_800!$B$2:$B$801,B3,Coding_800!$C$2:$C$801,C3)</f>
        <v>4</v>
      </c>
      <c r="I3" s="3">
        <f t="shared" si="1"/>
        <v>40</v>
      </c>
      <c r="J3" t="str">
        <f t="shared" si="2"/>
        <v>Provisional - researcher check pending</v>
      </c>
    </row>
    <row r="4" spans="1:10">
      <c r="A4" t="s">
        <v>9</v>
      </c>
      <c r="B4" t="s">
        <v>5</v>
      </c>
      <c r="C4">
        <v>2024</v>
      </c>
      <c r="D4">
        <f>COUNTIFS(Coding_800!$B$2:$B$801,B4,Coding_800!$C$2:$C$801,C4,Coding_800!$M$2:$M$801,"Yes")</f>
        <v>0</v>
      </c>
      <c r="E4">
        <f>SUMIFS(Coding_800!$O$2:$O$801,Coding_800!$B$2:$B$801,B4,Coding_800!$C$2:$C$801,C4)</f>
        <v>8</v>
      </c>
      <c r="F4" s="3">
        <f t="shared" si="0"/>
        <v>80</v>
      </c>
      <c r="G4" s="3">
        <f>COUNTIFS(Coding_800!$B$2:$B$801,B4,Coding_800!$C$2:$C$801,C4,Coding_800!$G$2:$G$801,"&gt;=0")</f>
        <v>10</v>
      </c>
      <c r="H4" s="3">
        <f>SUMIFS(Coding_800!$G$2:$G$801,Coding_800!$B$2:$B$801,B4,Coding_800!$C$2:$C$801,C4)</f>
        <v>8</v>
      </c>
      <c r="I4" s="3">
        <f t="shared" si="1"/>
        <v>80</v>
      </c>
      <c r="J4" t="str">
        <f t="shared" si="2"/>
        <v>Provisional - researcher check pending</v>
      </c>
    </row>
    <row r="5" spans="1:10">
      <c r="A5" t="s">
        <v>9</v>
      </c>
      <c r="B5" t="s">
        <v>5</v>
      </c>
      <c r="C5">
        <v>2025</v>
      </c>
      <c r="D5">
        <f>COUNTIFS(Coding_800!$B$2:$B$801,B5,Coding_800!$C$2:$C$801,C5,Coding_800!$M$2:$M$801,"Yes")</f>
        <v>0</v>
      </c>
      <c r="E5">
        <f>SUMIFS(Coding_800!$O$2:$O$801,Coding_800!$B$2:$B$801,B5,Coding_800!$C$2:$C$801,C5)</f>
        <v>5</v>
      </c>
      <c r="F5" s="3">
        <f t="shared" si="0"/>
        <v>50</v>
      </c>
      <c r="G5" s="3">
        <f>COUNTIFS(Coding_800!$B$2:$B$801,B5,Coding_800!$C$2:$C$801,C5,Coding_800!$G$2:$G$801,"&gt;=0")</f>
        <v>10</v>
      </c>
      <c r="H5" s="3">
        <f>SUMIFS(Coding_800!$G$2:$G$801,Coding_800!$B$2:$B$801,B5,Coding_800!$C$2:$C$801,C5)</f>
        <v>5</v>
      </c>
      <c r="I5" s="3">
        <f t="shared" si="1"/>
        <v>50</v>
      </c>
      <c r="J5" t="str">
        <f t="shared" si="2"/>
        <v>Provisional - researcher check pending</v>
      </c>
    </row>
    <row r="6" spans="1:10">
      <c r="A6" t="s">
        <v>9</v>
      </c>
      <c r="B6" t="s">
        <v>10</v>
      </c>
      <c r="C6">
        <v>2022</v>
      </c>
      <c r="D6">
        <f>COUNTIFS(Coding_800!$B$2:$B$801,B6,Coding_800!$C$2:$C$801,C6,Coding_800!$M$2:$M$801,"Yes")</f>
        <v>0</v>
      </c>
      <c r="E6">
        <f>SUMIFS(Coding_800!$O$2:$O$801,Coding_800!$B$2:$B$801,B6,Coding_800!$C$2:$C$801,C6)</f>
        <v>2</v>
      </c>
      <c r="F6" s="3">
        <f t="shared" si="0"/>
        <v>20</v>
      </c>
      <c r="G6" s="3">
        <f>COUNTIFS(Coding_800!$B$2:$B$801,B6,Coding_800!$C$2:$C$801,C6,Coding_800!$G$2:$G$801,"&gt;=0")</f>
        <v>10</v>
      </c>
      <c r="H6" s="3">
        <f>SUMIFS(Coding_800!$G$2:$G$801,Coding_800!$B$2:$B$801,B6,Coding_800!$C$2:$C$801,C6)</f>
        <v>2</v>
      </c>
      <c r="I6" s="3">
        <f t="shared" si="1"/>
        <v>20</v>
      </c>
      <c r="J6" t="str">
        <f t="shared" si="2"/>
        <v>Provisional - researcher check pending</v>
      </c>
    </row>
    <row r="7" spans="1:10">
      <c r="A7" t="s">
        <v>9</v>
      </c>
      <c r="B7" t="s">
        <v>10</v>
      </c>
      <c r="C7">
        <v>2023</v>
      </c>
      <c r="D7">
        <f>COUNTIFS(Coding_800!$B$2:$B$801,B7,Coding_800!$C$2:$C$801,C7,Coding_800!$M$2:$M$801,"Yes")</f>
        <v>0</v>
      </c>
      <c r="E7">
        <f>SUMIFS(Coding_800!$O$2:$O$801,Coding_800!$B$2:$B$801,B7,Coding_800!$C$2:$C$801,C7)</f>
        <v>2</v>
      </c>
      <c r="F7" s="3">
        <f t="shared" si="0"/>
        <v>20</v>
      </c>
      <c r="G7" s="3">
        <f>COUNTIFS(Coding_800!$B$2:$B$801,B7,Coding_800!$C$2:$C$801,C7,Coding_800!$G$2:$G$801,"&gt;=0")</f>
        <v>10</v>
      </c>
      <c r="H7" s="3">
        <f>SUMIFS(Coding_800!$G$2:$G$801,Coding_800!$B$2:$B$801,B7,Coding_800!$C$2:$C$801,C7)</f>
        <v>2</v>
      </c>
      <c r="I7" s="3">
        <f t="shared" si="1"/>
        <v>20</v>
      </c>
      <c r="J7" t="str">
        <f t="shared" si="2"/>
        <v>Provisional - researcher check pending</v>
      </c>
    </row>
    <row r="8" spans="1:10">
      <c r="A8" t="s">
        <v>9</v>
      </c>
      <c r="B8" t="s">
        <v>10</v>
      </c>
      <c r="C8">
        <v>2024</v>
      </c>
      <c r="D8">
        <f>COUNTIFS(Coding_800!$B$2:$B$801,B8,Coding_800!$C$2:$C$801,C8,Coding_800!$M$2:$M$801,"Yes")</f>
        <v>0</v>
      </c>
      <c r="E8">
        <f>SUMIFS(Coding_800!$O$2:$O$801,Coding_800!$B$2:$B$801,B8,Coding_800!$C$2:$C$801,C8)</f>
        <v>9</v>
      </c>
      <c r="F8" s="3">
        <f t="shared" si="0"/>
        <v>90</v>
      </c>
      <c r="G8" s="3">
        <f>COUNTIFS(Coding_800!$B$2:$B$801,B8,Coding_800!$C$2:$C$801,C8,Coding_800!$G$2:$G$801,"&gt;=0")</f>
        <v>10</v>
      </c>
      <c r="H8" s="3">
        <f>SUMIFS(Coding_800!$G$2:$G$801,Coding_800!$B$2:$B$801,B8,Coding_800!$C$2:$C$801,C8)</f>
        <v>9</v>
      </c>
      <c r="I8" s="3">
        <f t="shared" si="1"/>
        <v>90</v>
      </c>
      <c r="J8" t="str">
        <f t="shared" si="2"/>
        <v>Provisional - researcher check pending</v>
      </c>
    </row>
    <row r="9" spans="1:10">
      <c r="A9" t="s">
        <v>9</v>
      </c>
      <c r="B9" t="s">
        <v>10</v>
      </c>
      <c r="C9">
        <v>2025</v>
      </c>
      <c r="D9">
        <f>COUNTIFS(Coding_800!$B$2:$B$801,B9,Coding_800!$C$2:$C$801,C9,Coding_800!$M$2:$M$801,"Yes")</f>
        <v>0</v>
      </c>
      <c r="E9">
        <f>SUMIFS(Coding_800!$O$2:$O$801,Coding_800!$B$2:$B$801,B9,Coding_800!$C$2:$C$801,C9)</f>
        <v>2</v>
      </c>
      <c r="F9" s="3">
        <f t="shared" si="0"/>
        <v>20</v>
      </c>
      <c r="G9" s="3">
        <f>COUNTIFS(Coding_800!$B$2:$B$801,B9,Coding_800!$C$2:$C$801,C9,Coding_800!$G$2:$G$801,"&gt;=0")</f>
        <v>10</v>
      </c>
      <c r="H9" s="3">
        <f>SUMIFS(Coding_800!$G$2:$G$801,Coding_800!$B$2:$B$801,B9,Coding_800!$C$2:$C$801,C9)</f>
        <v>2</v>
      </c>
      <c r="I9" s="3">
        <f t="shared" si="1"/>
        <v>20</v>
      </c>
      <c r="J9" t="str">
        <f t="shared" si="2"/>
        <v>Provisional - researcher check pending</v>
      </c>
    </row>
    <row r="10" spans="1:10">
      <c r="A10" t="s">
        <v>9</v>
      </c>
      <c r="B10" t="s">
        <v>12</v>
      </c>
      <c r="C10">
        <v>2022</v>
      </c>
      <c r="D10">
        <f>COUNTIFS(Coding_800!$B$2:$B$801,B10,Coding_800!$C$2:$C$801,C10,Coding_800!$M$2:$M$801,"Yes")</f>
        <v>0</v>
      </c>
      <c r="E10">
        <f>SUMIFS(Coding_800!$O$2:$O$801,Coding_800!$B$2:$B$801,B10,Coding_800!$C$2:$C$801,C10)</f>
        <v>2</v>
      </c>
      <c r="F10" s="3">
        <f t="shared" si="0"/>
        <v>20</v>
      </c>
      <c r="G10" s="3">
        <f>COUNTIFS(Coding_800!$B$2:$B$801,B10,Coding_800!$C$2:$C$801,C10,Coding_800!$G$2:$G$801,"&gt;=0")</f>
        <v>10</v>
      </c>
      <c r="H10" s="3">
        <f>SUMIFS(Coding_800!$G$2:$G$801,Coding_800!$B$2:$B$801,B10,Coding_800!$C$2:$C$801,C10)</f>
        <v>2</v>
      </c>
      <c r="I10" s="3">
        <f t="shared" si="1"/>
        <v>20</v>
      </c>
      <c r="J10" t="str">
        <f t="shared" si="2"/>
        <v>Provisional - researcher check pending</v>
      </c>
    </row>
    <row r="11" spans="1:10">
      <c r="A11" t="s">
        <v>9</v>
      </c>
      <c r="B11" t="s">
        <v>12</v>
      </c>
      <c r="C11">
        <v>2023</v>
      </c>
      <c r="D11">
        <f>COUNTIFS(Coding_800!$B$2:$B$801,B11,Coding_800!$C$2:$C$801,C11,Coding_800!$M$2:$M$801,"Yes")</f>
        <v>0</v>
      </c>
      <c r="E11">
        <f>SUMIFS(Coding_800!$O$2:$O$801,Coding_800!$B$2:$B$801,B11,Coding_800!$C$2:$C$801,C11)</f>
        <v>4</v>
      </c>
      <c r="F11" s="3">
        <f t="shared" si="0"/>
        <v>40</v>
      </c>
      <c r="G11" s="3">
        <f>COUNTIFS(Coding_800!$B$2:$B$801,B11,Coding_800!$C$2:$C$801,C11,Coding_800!$G$2:$G$801,"&gt;=0")</f>
        <v>10</v>
      </c>
      <c r="H11" s="3">
        <f>SUMIFS(Coding_800!$G$2:$G$801,Coding_800!$B$2:$B$801,B11,Coding_800!$C$2:$C$801,C11)</f>
        <v>4</v>
      </c>
      <c r="I11" s="3">
        <f t="shared" si="1"/>
        <v>40</v>
      </c>
      <c r="J11" t="str">
        <f t="shared" si="2"/>
        <v>Provisional - researcher check pending</v>
      </c>
    </row>
    <row r="12" spans="1:10">
      <c r="A12" t="s">
        <v>9</v>
      </c>
      <c r="B12" t="s">
        <v>12</v>
      </c>
      <c r="C12">
        <v>2024</v>
      </c>
      <c r="D12">
        <f>COUNTIFS(Coding_800!$B$2:$B$801,B12,Coding_800!$C$2:$C$801,C12,Coding_800!$M$2:$M$801,"Yes")</f>
        <v>0</v>
      </c>
      <c r="E12">
        <f>SUMIFS(Coding_800!$O$2:$O$801,Coding_800!$B$2:$B$801,B12,Coding_800!$C$2:$C$801,C12)</f>
        <v>8</v>
      </c>
      <c r="F12" s="3">
        <f t="shared" si="0"/>
        <v>80</v>
      </c>
      <c r="G12" s="3">
        <f>COUNTIFS(Coding_800!$B$2:$B$801,B12,Coding_800!$C$2:$C$801,C12,Coding_800!$G$2:$G$801,"&gt;=0")</f>
        <v>10</v>
      </c>
      <c r="H12" s="3">
        <f>SUMIFS(Coding_800!$G$2:$G$801,Coding_800!$B$2:$B$801,B12,Coding_800!$C$2:$C$801,C12)</f>
        <v>8</v>
      </c>
      <c r="I12" s="3">
        <f t="shared" si="1"/>
        <v>80</v>
      </c>
      <c r="J12" t="str">
        <f t="shared" si="2"/>
        <v>Provisional - researcher check pending</v>
      </c>
    </row>
    <row r="13" spans="1:10">
      <c r="A13" t="s">
        <v>9</v>
      </c>
      <c r="B13" t="s">
        <v>12</v>
      </c>
      <c r="C13">
        <v>2025</v>
      </c>
      <c r="D13">
        <f>COUNTIFS(Coding_800!$B$2:$B$801,B13,Coding_800!$C$2:$C$801,C13,Coding_800!$M$2:$M$801,"Yes")</f>
        <v>0</v>
      </c>
      <c r="E13">
        <f>SUMIFS(Coding_800!$O$2:$O$801,Coding_800!$B$2:$B$801,B13,Coding_800!$C$2:$C$801,C13)</f>
        <v>3</v>
      </c>
      <c r="F13" s="3">
        <f t="shared" si="0"/>
        <v>30</v>
      </c>
      <c r="G13" s="3">
        <f>COUNTIFS(Coding_800!$B$2:$B$801,B13,Coding_800!$C$2:$C$801,C13,Coding_800!$G$2:$G$801,"&gt;=0")</f>
        <v>10</v>
      </c>
      <c r="H13" s="3">
        <f>SUMIFS(Coding_800!$G$2:$G$801,Coding_800!$B$2:$B$801,B13,Coding_800!$C$2:$C$801,C13)</f>
        <v>3</v>
      </c>
      <c r="I13" s="3">
        <f t="shared" si="1"/>
        <v>30</v>
      </c>
      <c r="J13" t="str">
        <f t="shared" si="2"/>
        <v>Provisional - researcher check pending</v>
      </c>
    </row>
    <row r="14" spans="1:10">
      <c r="A14" t="s">
        <v>9</v>
      </c>
      <c r="B14" t="s">
        <v>14</v>
      </c>
      <c r="C14">
        <v>2022</v>
      </c>
      <c r="D14">
        <f>COUNTIFS(Coding_800!$B$2:$B$801,B14,Coding_800!$C$2:$C$801,C14,Coding_800!$M$2:$M$801,"Yes")</f>
        <v>0</v>
      </c>
      <c r="E14">
        <f>SUMIFS(Coding_800!$O$2:$O$801,Coding_800!$B$2:$B$801,B14,Coding_800!$C$2:$C$801,C14)</f>
        <v>3</v>
      </c>
      <c r="F14" s="3">
        <f t="shared" si="0"/>
        <v>30</v>
      </c>
      <c r="G14" s="3">
        <f>COUNTIFS(Coding_800!$B$2:$B$801,B14,Coding_800!$C$2:$C$801,C14,Coding_800!$G$2:$G$801,"&gt;=0")</f>
        <v>10</v>
      </c>
      <c r="H14" s="3">
        <f>SUMIFS(Coding_800!$G$2:$G$801,Coding_800!$B$2:$B$801,B14,Coding_800!$C$2:$C$801,C14)</f>
        <v>3</v>
      </c>
      <c r="I14" s="3">
        <f t="shared" si="1"/>
        <v>30</v>
      </c>
      <c r="J14" t="str">
        <f t="shared" si="2"/>
        <v>Provisional - researcher check pending</v>
      </c>
    </row>
    <row r="15" spans="1:10">
      <c r="A15" t="s">
        <v>9</v>
      </c>
      <c r="B15" t="s">
        <v>14</v>
      </c>
      <c r="C15">
        <v>2023</v>
      </c>
      <c r="D15">
        <f>COUNTIFS(Coding_800!$B$2:$B$801,B15,Coding_800!$C$2:$C$801,C15,Coding_800!$M$2:$M$801,"Yes")</f>
        <v>0</v>
      </c>
      <c r="E15">
        <f>SUMIFS(Coding_800!$O$2:$O$801,Coding_800!$B$2:$B$801,B15,Coding_800!$C$2:$C$801,C15)</f>
        <v>4</v>
      </c>
      <c r="F15" s="3">
        <f t="shared" si="0"/>
        <v>40</v>
      </c>
      <c r="G15" s="3">
        <f>COUNTIFS(Coding_800!$B$2:$B$801,B15,Coding_800!$C$2:$C$801,C15,Coding_800!$G$2:$G$801,"&gt;=0")</f>
        <v>10</v>
      </c>
      <c r="H15" s="3">
        <f>SUMIFS(Coding_800!$G$2:$G$801,Coding_800!$B$2:$B$801,B15,Coding_800!$C$2:$C$801,C15)</f>
        <v>4</v>
      </c>
      <c r="I15" s="3">
        <f t="shared" si="1"/>
        <v>40</v>
      </c>
      <c r="J15" t="str">
        <f t="shared" si="2"/>
        <v>Provisional - researcher check pending</v>
      </c>
    </row>
    <row r="16" spans="1:10">
      <c r="A16" t="s">
        <v>9</v>
      </c>
      <c r="B16" t="s">
        <v>14</v>
      </c>
      <c r="C16">
        <v>2024</v>
      </c>
      <c r="D16">
        <f>COUNTIFS(Coding_800!$B$2:$B$801,B16,Coding_800!$C$2:$C$801,C16,Coding_800!$M$2:$M$801,"Yes")</f>
        <v>0</v>
      </c>
      <c r="E16">
        <f>SUMIFS(Coding_800!$O$2:$O$801,Coding_800!$B$2:$B$801,B16,Coding_800!$C$2:$C$801,C16)</f>
        <v>9</v>
      </c>
      <c r="F16" s="3">
        <f t="shared" si="0"/>
        <v>90</v>
      </c>
      <c r="G16" s="3">
        <f>COUNTIFS(Coding_800!$B$2:$B$801,B16,Coding_800!$C$2:$C$801,C16,Coding_800!$G$2:$G$801,"&gt;=0")</f>
        <v>10</v>
      </c>
      <c r="H16" s="3">
        <f>SUMIFS(Coding_800!$G$2:$G$801,Coding_800!$B$2:$B$801,B16,Coding_800!$C$2:$C$801,C16)</f>
        <v>9</v>
      </c>
      <c r="I16" s="3">
        <f t="shared" si="1"/>
        <v>90</v>
      </c>
      <c r="J16" t="str">
        <f t="shared" si="2"/>
        <v>Provisional - researcher check pending</v>
      </c>
    </row>
    <row r="17" spans="1:10">
      <c r="A17" t="s">
        <v>9</v>
      </c>
      <c r="B17" t="s">
        <v>14</v>
      </c>
      <c r="C17">
        <v>2025</v>
      </c>
      <c r="D17">
        <f>COUNTIFS(Coding_800!$B$2:$B$801,B17,Coding_800!$C$2:$C$801,C17,Coding_800!$M$2:$M$801,"Yes")</f>
        <v>0</v>
      </c>
      <c r="E17">
        <f>SUMIFS(Coding_800!$O$2:$O$801,Coding_800!$B$2:$B$801,B17,Coding_800!$C$2:$C$801,C17)</f>
        <v>5</v>
      </c>
      <c r="F17" s="3">
        <f t="shared" si="0"/>
        <v>50</v>
      </c>
      <c r="G17" s="3">
        <f>COUNTIFS(Coding_800!$B$2:$B$801,B17,Coding_800!$C$2:$C$801,C17,Coding_800!$G$2:$G$801,"&gt;=0")</f>
        <v>10</v>
      </c>
      <c r="H17" s="3">
        <f>SUMIFS(Coding_800!$G$2:$G$801,Coding_800!$B$2:$B$801,B17,Coding_800!$C$2:$C$801,C17)</f>
        <v>5</v>
      </c>
      <c r="I17" s="3">
        <f t="shared" si="1"/>
        <v>50</v>
      </c>
      <c r="J17" t="str">
        <f t="shared" si="2"/>
        <v>Provisional - researcher check pending</v>
      </c>
    </row>
    <row r="18" spans="1:10">
      <c r="A18" t="s">
        <v>9</v>
      </c>
      <c r="B18" t="s">
        <v>16</v>
      </c>
      <c r="C18">
        <v>2022</v>
      </c>
      <c r="D18">
        <f>COUNTIFS(Coding_800!$B$2:$B$801,B18,Coding_800!$C$2:$C$801,C18,Coding_800!$M$2:$M$801,"Yes")</f>
        <v>0</v>
      </c>
      <c r="E18">
        <f>SUMIFS(Coding_800!$O$2:$O$801,Coding_800!$B$2:$B$801,B18,Coding_800!$C$2:$C$801,C18)</f>
        <v>6</v>
      </c>
      <c r="F18" s="3">
        <f t="shared" si="0"/>
        <v>60</v>
      </c>
      <c r="G18" s="3">
        <f>COUNTIFS(Coding_800!$B$2:$B$801,B18,Coding_800!$C$2:$C$801,C18,Coding_800!$G$2:$G$801,"&gt;=0")</f>
        <v>10</v>
      </c>
      <c r="H18" s="3">
        <f>SUMIFS(Coding_800!$G$2:$G$801,Coding_800!$B$2:$B$801,B18,Coding_800!$C$2:$C$801,C18)</f>
        <v>6</v>
      </c>
      <c r="I18" s="3">
        <f t="shared" si="1"/>
        <v>60</v>
      </c>
      <c r="J18" t="str">
        <f t="shared" si="2"/>
        <v>Provisional - researcher check pending</v>
      </c>
    </row>
    <row r="19" spans="1:10">
      <c r="A19" t="s">
        <v>9</v>
      </c>
      <c r="B19" t="s">
        <v>16</v>
      </c>
      <c r="C19">
        <v>2023</v>
      </c>
      <c r="D19">
        <f>COUNTIFS(Coding_800!$B$2:$B$801,B19,Coding_800!$C$2:$C$801,C19,Coding_800!$M$2:$M$801,"Yes")</f>
        <v>0</v>
      </c>
      <c r="E19">
        <f>SUMIFS(Coding_800!$O$2:$O$801,Coding_800!$B$2:$B$801,B19,Coding_800!$C$2:$C$801,C19)</f>
        <v>5</v>
      </c>
      <c r="F19" s="3">
        <f t="shared" si="0"/>
        <v>50</v>
      </c>
      <c r="G19" s="3">
        <f>COUNTIFS(Coding_800!$B$2:$B$801,B19,Coding_800!$C$2:$C$801,C19,Coding_800!$G$2:$G$801,"&gt;=0")</f>
        <v>10</v>
      </c>
      <c r="H19" s="3">
        <f>SUMIFS(Coding_800!$G$2:$G$801,Coding_800!$B$2:$B$801,B19,Coding_800!$C$2:$C$801,C19)</f>
        <v>5</v>
      </c>
      <c r="I19" s="3">
        <f t="shared" si="1"/>
        <v>50</v>
      </c>
      <c r="J19" t="str">
        <f t="shared" si="2"/>
        <v>Provisional - researcher check pending</v>
      </c>
    </row>
    <row r="20" spans="1:10">
      <c r="A20" t="s">
        <v>9</v>
      </c>
      <c r="B20" t="s">
        <v>16</v>
      </c>
      <c r="C20">
        <v>2024</v>
      </c>
      <c r="D20">
        <f>COUNTIFS(Coding_800!$B$2:$B$801,B20,Coding_800!$C$2:$C$801,C20,Coding_800!$M$2:$M$801,"Yes")</f>
        <v>0</v>
      </c>
      <c r="E20">
        <f>SUMIFS(Coding_800!$O$2:$O$801,Coding_800!$B$2:$B$801,B20,Coding_800!$C$2:$C$801,C20)</f>
        <v>9</v>
      </c>
      <c r="F20" s="3">
        <f t="shared" si="0"/>
        <v>90</v>
      </c>
      <c r="G20" s="3">
        <f>COUNTIFS(Coding_800!$B$2:$B$801,B20,Coding_800!$C$2:$C$801,C20,Coding_800!$G$2:$G$801,"&gt;=0")</f>
        <v>10</v>
      </c>
      <c r="H20" s="3">
        <f>SUMIFS(Coding_800!$G$2:$G$801,Coding_800!$B$2:$B$801,B20,Coding_800!$C$2:$C$801,C20)</f>
        <v>9</v>
      </c>
      <c r="I20" s="3">
        <f t="shared" si="1"/>
        <v>90</v>
      </c>
      <c r="J20" t="str">
        <f t="shared" si="2"/>
        <v>Provisional - researcher check pending</v>
      </c>
    </row>
    <row r="21" spans="1:10">
      <c r="A21" t="s">
        <v>9</v>
      </c>
      <c r="B21" t="s">
        <v>16</v>
      </c>
      <c r="C21">
        <v>2025</v>
      </c>
      <c r="D21">
        <f>COUNTIFS(Coding_800!$B$2:$B$801,B21,Coding_800!$C$2:$C$801,C21,Coding_800!$M$2:$M$801,"Yes")</f>
        <v>0</v>
      </c>
      <c r="E21">
        <f>SUMIFS(Coding_800!$O$2:$O$801,Coding_800!$B$2:$B$801,B21,Coding_800!$C$2:$C$801,C21)</f>
        <v>3</v>
      </c>
      <c r="F21" s="3">
        <f t="shared" si="0"/>
        <v>30</v>
      </c>
      <c r="G21" s="3">
        <f>COUNTIFS(Coding_800!$B$2:$B$801,B21,Coding_800!$C$2:$C$801,C21,Coding_800!$G$2:$G$801,"&gt;=0")</f>
        <v>10</v>
      </c>
      <c r="H21" s="3">
        <f>SUMIFS(Coding_800!$G$2:$G$801,Coding_800!$B$2:$B$801,B21,Coding_800!$C$2:$C$801,C21)</f>
        <v>3</v>
      </c>
      <c r="I21" s="3">
        <f t="shared" si="1"/>
        <v>30</v>
      </c>
      <c r="J21" t="str">
        <f t="shared" si="2"/>
        <v>Provisional - researcher check pending</v>
      </c>
    </row>
    <row r="22" spans="1:10">
      <c r="A22" t="s">
        <v>9</v>
      </c>
      <c r="B22" t="s">
        <v>19</v>
      </c>
      <c r="C22">
        <v>2022</v>
      </c>
      <c r="D22">
        <f>COUNTIFS(Coding_800!$B$2:$B$801,B22,Coding_800!$C$2:$C$801,C22,Coding_800!$M$2:$M$801,"Yes")</f>
        <v>0</v>
      </c>
      <c r="E22">
        <f>SUMIFS(Coding_800!$O$2:$O$801,Coding_800!$B$2:$B$801,B22,Coding_800!$C$2:$C$801,C22)</f>
        <v>3</v>
      </c>
      <c r="F22" s="3">
        <f t="shared" si="0"/>
        <v>30</v>
      </c>
      <c r="G22" s="3">
        <f>COUNTIFS(Coding_800!$B$2:$B$801,B22,Coding_800!$C$2:$C$801,C22,Coding_800!$G$2:$G$801,"&gt;=0")</f>
        <v>10</v>
      </c>
      <c r="H22" s="3">
        <f>SUMIFS(Coding_800!$G$2:$G$801,Coding_800!$B$2:$B$801,B22,Coding_800!$C$2:$C$801,C22)</f>
        <v>3</v>
      </c>
      <c r="I22" s="3">
        <f t="shared" si="1"/>
        <v>30</v>
      </c>
      <c r="J22" t="str">
        <f t="shared" si="2"/>
        <v>Provisional - researcher check pending</v>
      </c>
    </row>
    <row r="23" spans="1:10">
      <c r="A23" t="s">
        <v>9</v>
      </c>
      <c r="B23" t="s">
        <v>19</v>
      </c>
      <c r="C23">
        <v>2023</v>
      </c>
      <c r="D23">
        <f>COUNTIFS(Coding_800!$B$2:$B$801,B23,Coding_800!$C$2:$C$801,C23,Coding_800!$M$2:$M$801,"Yes")</f>
        <v>0</v>
      </c>
      <c r="E23">
        <f>SUMIFS(Coding_800!$O$2:$O$801,Coding_800!$B$2:$B$801,B23,Coding_800!$C$2:$C$801,C23)</f>
        <v>5</v>
      </c>
      <c r="F23" s="3">
        <f t="shared" si="0"/>
        <v>50</v>
      </c>
      <c r="G23" s="3">
        <f>COUNTIFS(Coding_800!$B$2:$B$801,B23,Coding_800!$C$2:$C$801,C23,Coding_800!$G$2:$G$801,"&gt;=0")</f>
        <v>10</v>
      </c>
      <c r="H23" s="3">
        <f>SUMIFS(Coding_800!$G$2:$G$801,Coding_800!$B$2:$B$801,B23,Coding_800!$C$2:$C$801,C23)</f>
        <v>5</v>
      </c>
      <c r="I23" s="3">
        <f t="shared" si="1"/>
        <v>50</v>
      </c>
      <c r="J23" t="str">
        <f t="shared" si="2"/>
        <v>Provisional - researcher check pending</v>
      </c>
    </row>
    <row r="24" spans="1:10">
      <c r="A24" t="s">
        <v>9</v>
      </c>
      <c r="B24" t="s">
        <v>19</v>
      </c>
      <c r="C24">
        <v>2024</v>
      </c>
      <c r="D24">
        <f>COUNTIFS(Coding_800!$B$2:$B$801,B24,Coding_800!$C$2:$C$801,C24,Coding_800!$M$2:$M$801,"Yes")</f>
        <v>0</v>
      </c>
      <c r="E24">
        <f>SUMIFS(Coding_800!$O$2:$O$801,Coding_800!$B$2:$B$801,B24,Coding_800!$C$2:$C$801,C24)</f>
        <v>10</v>
      </c>
      <c r="F24" s="3">
        <f t="shared" si="0"/>
        <v>100</v>
      </c>
      <c r="G24" s="3">
        <f>COUNTIFS(Coding_800!$B$2:$B$801,B24,Coding_800!$C$2:$C$801,C24,Coding_800!$G$2:$G$801,"&gt;=0")</f>
        <v>10</v>
      </c>
      <c r="H24" s="3">
        <f>SUMIFS(Coding_800!$G$2:$G$801,Coding_800!$B$2:$B$801,B24,Coding_800!$C$2:$C$801,C24)</f>
        <v>10</v>
      </c>
      <c r="I24" s="3">
        <f t="shared" si="1"/>
        <v>100</v>
      </c>
      <c r="J24" t="str">
        <f t="shared" si="2"/>
        <v>Provisional - researcher check pending</v>
      </c>
    </row>
    <row r="25" spans="1:10">
      <c r="A25" t="s">
        <v>9</v>
      </c>
      <c r="B25" t="s">
        <v>19</v>
      </c>
      <c r="C25">
        <v>2025</v>
      </c>
      <c r="D25">
        <f>COUNTIFS(Coding_800!$B$2:$B$801,B25,Coding_800!$C$2:$C$801,C25,Coding_800!$M$2:$M$801,"Yes")</f>
        <v>0</v>
      </c>
      <c r="E25">
        <f>SUMIFS(Coding_800!$O$2:$O$801,Coding_800!$B$2:$B$801,B25,Coding_800!$C$2:$C$801,C25)</f>
        <v>6</v>
      </c>
      <c r="F25" s="3">
        <f t="shared" si="0"/>
        <v>60</v>
      </c>
      <c r="G25" s="3">
        <f>COUNTIFS(Coding_800!$B$2:$B$801,B25,Coding_800!$C$2:$C$801,C25,Coding_800!$G$2:$G$801,"&gt;=0")</f>
        <v>10</v>
      </c>
      <c r="H25" s="3">
        <f>SUMIFS(Coding_800!$G$2:$G$801,Coding_800!$B$2:$B$801,B25,Coding_800!$C$2:$C$801,C25)</f>
        <v>6</v>
      </c>
      <c r="I25" s="3">
        <f t="shared" si="1"/>
        <v>60</v>
      </c>
      <c r="J25" t="str">
        <f t="shared" si="2"/>
        <v>Provisional - researcher check pending</v>
      </c>
    </row>
    <row r="26" spans="1:10">
      <c r="A26" t="s">
        <v>9</v>
      </c>
      <c r="B26" t="s">
        <v>22</v>
      </c>
      <c r="C26">
        <v>2022</v>
      </c>
      <c r="D26">
        <f>COUNTIFS(Coding_800!$B$2:$B$801,B26,Coding_800!$C$2:$C$801,C26,Coding_800!$M$2:$M$801,"Yes")</f>
        <v>0</v>
      </c>
      <c r="E26">
        <f>SUMIFS(Coding_800!$O$2:$O$801,Coding_800!$B$2:$B$801,B26,Coding_800!$C$2:$C$801,C26)</f>
        <v>4</v>
      </c>
      <c r="F26" s="3">
        <f t="shared" si="0"/>
        <v>40</v>
      </c>
      <c r="G26" s="3">
        <f>COUNTIFS(Coding_800!$B$2:$B$801,B26,Coding_800!$C$2:$C$801,C26,Coding_800!$G$2:$G$801,"&gt;=0")</f>
        <v>10</v>
      </c>
      <c r="H26" s="3">
        <f>SUMIFS(Coding_800!$G$2:$G$801,Coding_800!$B$2:$B$801,B26,Coding_800!$C$2:$C$801,C26)</f>
        <v>4</v>
      </c>
      <c r="I26" s="3">
        <f t="shared" si="1"/>
        <v>40</v>
      </c>
      <c r="J26" t="str">
        <f t="shared" si="2"/>
        <v>Provisional - researcher check pending</v>
      </c>
    </row>
    <row r="27" spans="1:10">
      <c r="A27" t="s">
        <v>9</v>
      </c>
      <c r="B27" t="s">
        <v>22</v>
      </c>
      <c r="C27">
        <v>2023</v>
      </c>
      <c r="D27">
        <f>COUNTIFS(Coding_800!$B$2:$B$801,B27,Coding_800!$C$2:$C$801,C27,Coding_800!$M$2:$M$801,"Yes")</f>
        <v>0</v>
      </c>
      <c r="E27">
        <f>SUMIFS(Coding_800!$O$2:$O$801,Coding_800!$B$2:$B$801,B27,Coding_800!$C$2:$C$801,C27)</f>
        <v>6</v>
      </c>
      <c r="F27" s="3">
        <f t="shared" si="0"/>
        <v>60</v>
      </c>
      <c r="G27" s="3">
        <f>COUNTIFS(Coding_800!$B$2:$B$801,B27,Coding_800!$C$2:$C$801,C27,Coding_800!$G$2:$G$801,"&gt;=0")</f>
        <v>10</v>
      </c>
      <c r="H27" s="3">
        <f>SUMIFS(Coding_800!$G$2:$G$801,Coding_800!$B$2:$B$801,B27,Coding_800!$C$2:$C$801,C27)</f>
        <v>6</v>
      </c>
      <c r="I27" s="3">
        <f t="shared" si="1"/>
        <v>60</v>
      </c>
      <c r="J27" t="str">
        <f t="shared" si="2"/>
        <v>Provisional - researcher check pending</v>
      </c>
    </row>
    <row r="28" spans="1:10">
      <c r="A28" t="s">
        <v>9</v>
      </c>
      <c r="B28" t="s">
        <v>22</v>
      </c>
      <c r="C28">
        <v>2024</v>
      </c>
      <c r="D28">
        <f>COUNTIFS(Coding_800!$B$2:$B$801,B28,Coding_800!$C$2:$C$801,C28,Coding_800!$M$2:$M$801,"Yes")</f>
        <v>0</v>
      </c>
      <c r="E28">
        <f>SUMIFS(Coding_800!$O$2:$O$801,Coding_800!$B$2:$B$801,B28,Coding_800!$C$2:$C$801,C28)</f>
        <v>10</v>
      </c>
      <c r="F28" s="3">
        <f t="shared" si="0"/>
        <v>100</v>
      </c>
      <c r="G28" s="3">
        <f>COUNTIFS(Coding_800!$B$2:$B$801,B28,Coding_800!$C$2:$C$801,C28,Coding_800!$G$2:$G$801,"&gt;=0")</f>
        <v>10</v>
      </c>
      <c r="H28" s="3">
        <f>SUMIFS(Coding_800!$G$2:$G$801,Coding_800!$B$2:$B$801,B28,Coding_800!$C$2:$C$801,C28)</f>
        <v>10</v>
      </c>
      <c r="I28" s="3">
        <f t="shared" si="1"/>
        <v>100</v>
      </c>
      <c r="J28" t="str">
        <f t="shared" si="2"/>
        <v>Provisional - researcher check pending</v>
      </c>
    </row>
    <row r="29" spans="1:10">
      <c r="A29" t="s">
        <v>9</v>
      </c>
      <c r="B29" t="s">
        <v>22</v>
      </c>
      <c r="C29">
        <v>2025</v>
      </c>
      <c r="D29">
        <f>COUNTIFS(Coding_800!$B$2:$B$801,B29,Coding_800!$C$2:$C$801,C29,Coding_800!$M$2:$M$801,"Yes")</f>
        <v>0</v>
      </c>
      <c r="E29">
        <f>SUMIFS(Coding_800!$O$2:$O$801,Coding_800!$B$2:$B$801,B29,Coding_800!$C$2:$C$801,C29)</f>
        <v>7</v>
      </c>
      <c r="F29" s="3">
        <f t="shared" si="0"/>
        <v>70</v>
      </c>
      <c r="G29" s="3">
        <f>COUNTIFS(Coding_800!$B$2:$B$801,B29,Coding_800!$C$2:$C$801,C29,Coding_800!$G$2:$G$801,"&gt;=0")</f>
        <v>10</v>
      </c>
      <c r="H29" s="3">
        <f>SUMIFS(Coding_800!$G$2:$G$801,Coding_800!$B$2:$B$801,B29,Coding_800!$C$2:$C$801,C29)</f>
        <v>7</v>
      </c>
      <c r="I29" s="3">
        <f t="shared" si="1"/>
        <v>70</v>
      </c>
      <c r="J29" t="str">
        <f t="shared" si="2"/>
        <v>Provisional - researcher check pending</v>
      </c>
    </row>
    <row r="30" spans="1:10">
      <c r="A30" t="s">
        <v>9</v>
      </c>
      <c r="B30" t="s">
        <v>25</v>
      </c>
      <c r="C30">
        <v>2022</v>
      </c>
      <c r="D30">
        <f>COUNTIFS(Coding_800!$B$2:$B$801,B30,Coding_800!$C$2:$C$801,C30,Coding_800!$M$2:$M$801,"Yes")</f>
        <v>0</v>
      </c>
      <c r="E30">
        <f>SUMIFS(Coding_800!$O$2:$O$801,Coding_800!$B$2:$B$801,B30,Coding_800!$C$2:$C$801,C30)</f>
        <v>3</v>
      </c>
      <c r="F30" s="3">
        <f t="shared" si="0"/>
        <v>30</v>
      </c>
      <c r="G30" s="3">
        <f>COUNTIFS(Coding_800!$B$2:$B$801,B30,Coding_800!$C$2:$C$801,C30,Coding_800!$G$2:$G$801,"&gt;=0")</f>
        <v>10</v>
      </c>
      <c r="H30" s="3">
        <f>SUMIFS(Coding_800!$G$2:$G$801,Coding_800!$B$2:$B$801,B30,Coding_800!$C$2:$C$801,C30)</f>
        <v>3</v>
      </c>
      <c r="I30" s="3">
        <f t="shared" si="1"/>
        <v>30</v>
      </c>
      <c r="J30" t="str">
        <f t="shared" si="2"/>
        <v>Provisional - researcher check pending</v>
      </c>
    </row>
    <row r="31" spans="1:10">
      <c r="A31" t="s">
        <v>9</v>
      </c>
      <c r="B31" t="s">
        <v>25</v>
      </c>
      <c r="C31">
        <v>2023</v>
      </c>
      <c r="D31">
        <f>COUNTIFS(Coding_800!$B$2:$B$801,B31,Coding_800!$C$2:$C$801,C31,Coding_800!$M$2:$M$801,"Yes")</f>
        <v>0</v>
      </c>
      <c r="E31">
        <f>SUMIFS(Coding_800!$O$2:$O$801,Coding_800!$B$2:$B$801,B31,Coding_800!$C$2:$C$801,C31)</f>
        <v>3</v>
      </c>
      <c r="F31" s="3">
        <f t="shared" si="0"/>
        <v>30</v>
      </c>
      <c r="G31" s="3">
        <f>COUNTIFS(Coding_800!$B$2:$B$801,B31,Coding_800!$C$2:$C$801,C31,Coding_800!$G$2:$G$801,"&gt;=0")</f>
        <v>10</v>
      </c>
      <c r="H31" s="3">
        <f>SUMIFS(Coding_800!$G$2:$G$801,Coding_800!$B$2:$B$801,B31,Coding_800!$C$2:$C$801,C31)</f>
        <v>3</v>
      </c>
      <c r="I31" s="3">
        <f t="shared" si="1"/>
        <v>30</v>
      </c>
      <c r="J31" t="str">
        <f t="shared" si="2"/>
        <v>Provisional - researcher check pending</v>
      </c>
    </row>
    <row r="32" spans="1:10">
      <c r="A32" t="s">
        <v>9</v>
      </c>
      <c r="B32" t="s">
        <v>25</v>
      </c>
      <c r="C32">
        <v>2024</v>
      </c>
      <c r="D32">
        <f>COUNTIFS(Coding_800!$B$2:$B$801,B32,Coding_800!$C$2:$C$801,C32,Coding_800!$M$2:$M$801,"Yes")</f>
        <v>0</v>
      </c>
      <c r="E32">
        <f>SUMIFS(Coding_800!$O$2:$O$801,Coding_800!$B$2:$B$801,B32,Coding_800!$C$2:$C$801,C32)</f>
        <v>10</v>
      </c>
      <c r="F32" s="3">
        <f t="shared" si="0"/>
        <v>100</v>
      </c>
      <c r="G32" s="3">
        <f>COUNTIFS(Coding_800!$B$2:$B$801,B32,Coding_800!$C$2:$C$801,C32,Coding_800!$G$2:$G$801,"&gt;=0")</f>
        <v>10</v>
      </c>
      <c r="H32" s="3">
        <f>SUMIFS(Coding_800!$G$2:$G$801,Coding_800!$B$2:$B$801,B32,Coding_800!$C$2:$C$801,C32)</f>
        <v>10</v>
      </c>
      <c r="I32" s="3">
        <f t="shared" si="1"/>
        <v>100</v>
      </c>
      <c r="J32" t="str">
        <f t="shared" si="2"/>
        <v>Provisional - researcher check pending</v>
      </c>
    </row>
    <row r="33" spans="1:10">
      <c r="A33" t="s">
        <v>9</v>
      </c>
      <c r="B33" t="s">
        <v>25</v>
      </c>
      <c r="C33">
        <v>2025</v>
      </c>
      <c r="D33">
        <f>COUNTIFS(Coding_800!$B$2:$B$801,B33,Coding_800!$C$2:$C$801,C33,Coding_800!$M$2:$M$801,"Yes")</f>
        <v>0</v>
      </c>
      <c r="E33">
        <f>SUMIFS(Coding_800!$O$2:$O$801,Coding_800!$B$2:$B$801,B33,Coding_800!$C$2:$C$801,C33)</f>
        <v>8</v>
      </c>
      <c r="F33" s="3">
        <f t="shared" si="0"/>
        <v>80</v>
      </c>
      <c r="G33" s="3">
        <f>COUNTIFS(Coding_800!$B$2:$B$801,B33,Coding_800!$C$2:$C$801,C33,Coding_800!$G$2:$G$801,"&gt;=0")</f>
        <v>10</v>
      </c>
      <c r="H33" s="3">
        <f>SUMIFS(Coding_800!$G$2:$G$801,Coding_800!$B$2:$B$801,B33,Coding_800!$C$2:$C$801,C33)</f>
        <v>8</v>
      </c>
      <c r="I33" s="3">
        <f t="shared" si="1"/>
        <v>80</v>
      </c>
      <c r="J33" t="str">
        <f t="shared" si="2"/>
        <v>Provisional - researcher check pending</v>
      </c>
    </row>
    <row r="34" spans="1:10">
      <c r="A34" t="s">
        <v>9</v>
      </c>
      <c r="B34" t="s">
        <v>28</v>
      </c>
      <c r="C34">
        <v>2022</v>
      </c>
      <c r="D34">
        <f>COUNTIFS(Coding_800!$B$2:$B$801,B34,Coding_800!$C$2:$C$801,C34,Coding_800!$M$2:$M$801,"Yes")</f>
        <v>0</v>
      </c>
      <c r="E34">
        <f>SUMIFS(Coding_800!$O$2:$O$801,Coding_800!$B$2:$B$801,B34,Coding_800!$C$2:$C$801,C34)</f>
        <v>4</v>
      </c>
      <c r="F34" s="3">
        <f t="shared" ref="F34:F65" si="3">E34*10</f>
        <v>40</v>
      </c>
      <c r="G34" s="3">
        <f>COUNTIFS(Coding_800!$B$2:$B$801,B34,Coding_800!$C$2:$C$801,C34,Coding_800!$G$2:$G$801,"&gt;=0")</f>
        <v>10</v>
      </c>
      <c r="H34" s="3">
        <f>SUMIFS(Coding_800!$G$2:$G$801,Coding_800!$B$2:$B$801,B34,Coding_800!$C$2:$C$801,C34)</f>
        <v>4</v>
      </c>
      <c r="I34" s="3">
        <f t="shared" ref="I34:I65" si="4">H34*10</f>
        <v>40</v>
      </c>
      <c r="J34" t="str">
        <f t="shared" ref="J34:J65" si="5">IF(D34=10,"Yes - researcher verified","Provisional - researcher check pending")</f>
        <v>Provisional - researcher check pending</v>
      </c>
    </row>
    <row r="35" spans="1:10">
      <c r="A35" t="s">
        <v>9</v>
      </c>
      <c r="B35" t="s">
        <v>28</v>
      </c>
      <c r="C35">
        <v>2023</v>
      </c>
      <c r="D35">
        <f>COUNTIFS(Coding_800!$B$2:$B$801,B35,Coding_800!$C$2:$C$801,C35,Coding_800!$M$2:$M$801,"Yes")</f>
        <v>0</v>
      </c>
      <c r="E35">
        <f>SUMIFS(Coding_800!$O$2:$O$801,Coding_800!$B$2:$B$801,B35,Coding_800!$C$2:$C$801,C35)</f>
        <v>6</v>
      </c>
      <c r="F35" s="3">
        <f t="shared" si="3"/>
        <v>60</v>
      </c>
      <c r="G35" s="3">
        <f>COUNTIFS(Coding_800!$B$2:$B$801,B35,Coding_800!$C$2:$C$801,C35,Coding_800!$G$2:$G$801,"&gt;=0")</f>
        <v>10</v>
      </c>
      <c r="H35" s="3">
        <f>SUMIFS(Coding_800!$G$2:$G$801,Coding_800!$B$2:$B$801,B35,Coding_800!$C$2:$C$801,C35)</f>
        <v>6</v>
      </c>
      <c r="I35" s="3">
        <f t="shared" si="4"/>
        <v>60</v>
      </c>
      <c r="J35" t="str">
        <f t="shared" si="5"/>
        <v>Provisional - researcher check pending</v>
      </c>
    </row>
    <row r="36" spans="1:10">
      <c r="A36" t="s">
        <v>9</v>
      </c>
      <c r="B36" t="s">
        <v>28</v>
      </c>
      <c r="C36">
        <v>2024</v>
      </c>
      <c r="D36">
        <f>COUNTIFS(Coding_800!$B$2:$B$801,B36,Coding_800!$C$2:$C$801,C36,Coding_800!$M$2:$M$801,"Yes")</f>
        <v>0</v>
      </c>
      <c r="E36">
        <f>SUMIFS(Coding_800!$O$2:$O$801,Coding_800!$B$2:$B$801,B36,Coding_800!$C$2:$C$801,C36)</f>
        <v>9</v>
      </c>
      <c r="F36" s="3">
        <f t="shared" si="3"/>
        <v>90</v>
      </c>
      <c r="G36" s="3">
        <f>COUNTIFS(Coding_800!$B$2:$B$801,B36,Coding_800!$C$2:$C$801,C36,Coding_800!$G$2:$G$801,"&gt;=0")</f>
        <v>10</v>
      </c>
      <c r="H36" s="3">
        <f>SUMIFS(Coding_800!$G$2:$G$801,Coding_800!$B$2:$B$801,B36,Coding_800!$C$2:$C$801,C36)</f>
        <v>9</v>
      </c>
      <c r="I36" s="3">
        <f t="shared" si="4"/>
        <v>90</v>
      </c>
      <c r="J36" t="str">
        <f t="shared" si="5"/>
        <v>Provisional - researcher check pending</v>
      </c>
    </row>
    <row r="37" spans="1:10">
      <c r="A37" t="s">
        <v>9</v>
      </c>
      <c r="B37" t="s">
        <v>28</v>
      </c>
      <c r="C37">
        <v>2025</v>
      </c>
      <c r="D37">
        <f>COUNTIFS(Coding_800!$B$2:$B$801,B37,Coding_800!$C$2:$C$801,C37,Coding_800!$M$2:$M$801,"Yes")</f>
        <v>0</v>
      </c>
      <c r="E37">
        <f>SUMIFS(Coding_800!$O$2:$O$801,Coding_800!$B$2:$B$801,B37,Coding_800!$C$2:$C$801,C37)</f>
        <v>4</v>
      </c>
      <c r="F37" s="3">
        <f t="shared" si="3"/>
        <v>40</v>
      </c>
      <c r="G37" s="3">
        <f>COUNTIFS(Coding_800!$B$2:$B$801,B37,Coding_800!$C$2:$C$801,C37,Coding_800!$G$2:$G$801,"&gt;=0")</f>
        <v>10</v>
      </c>
      <c r="H37" s="3">
        <f>SUMIFS(Coding_800!$G$2:$G$801,Coding_800!$B$2:$B$801,B37,Coding_800!$C$2:$C$801,C37)</f>
        <v>4</v>
      </c>
      <c r="I37" s="3">
        <f t="shared" si="4"/>
        <v>40</v>
      </c>
      <c r="J37" t="str">
        <f t="shared" si="5"/>
        <v>Provisional - researcher check pending</v>
      </c>
    </row>
    <row r="38" spans="1:10">
      <c r="A38" t="s">
        <v>9</v>
      </c>
      <c r="B38" t="s">
        <v>31</v>
      </c>
      <c r="C38">
        <v>2022</v>
      </c>
      <c r="D38">
        <f>COUNTIFS(Coding_800!$B$2:$B$801,B38,Coding_800!$C$2:$C$801,C38,Coding_800!$M$2:$M$801,"Yes")</f>
        <v>0</v>
      </c>
      <c r="E38">
        <f>SUMIFS(Coding_800!$O$2:$O$801,Coding_800!$B$2:$B$801,B38,Coding_800!$C$2:$C$801,C38)</f>
        <v>1</v>
      </c>
      <c r="F38" s="3">
        <f t="shared" si="3"/>
        <v>10</v>
      </c>
      <c r="G38" s="3">
        <f>COUNTIFS(Coding_800!$B$2:$B$801,B38,Coding_800!$C$2:$C$801,C38,Coding_800!$G$2:$G$801,"&gt;=0")</f>
        <v>10</v>
      </c>
      <c r="H38" s="3">
        <f>SUMIFS(Coding_800!$G$2:$G$801,Coding_800!$B$2:$B$801,B38,Coding_800!$C$2:$C$801,C38)</f>
        <v>1</v>
      </c>
      <c r="I38" s="3">
        <f t="shared" si="4"/>
        <v>10</v>
      </c>
      <c r="J38" t="str">
        <f t="shared" si="5"/>
        <v>Provisional - researcher check pending</v>
      </c>
    </row>
    <row r="39" spans="1:10">
      <c r="A39" t="s">
        <v>9</v>
      </c>
      <c r="B39" t="s">
        <v>31</v>
      </c>
      <c r="C39">
        <v>2023</v>
      </c>
      <c r="D39">
        <f>COUNTIFS(Coding_800!$B$2:$B$801,B39,Coding_800!$C$2:$C$801,C39,Coding_800!$M$2:$M$801,"Yes")</f>
        <v>0</v>
      </c>
      <c r="E39">
        <f>SUMIFS(Coding_800!$O$2:$O$801,Coding_800!$B$2:$B$801,B39,Coding_800!$C$2:$C$801,C39)</f>
        <v>3</v>
      </c>
      <c r="F39" s="3">
        <f t="shared" si="3"/>
        <v>30</v>
      </c>
      <c r="G39" s="3">
        <f>COUNTIFS(Coding_800!$B$2:$B$801,B39,Coding_800!$C$2:$C$801,C39,Coding_800!$G$2:$G$801,"&gt;=0")</f>
        <v>10</v>
      </c>
      <c r="H39" s="3">
        <f>SUMIFS(Coding_800!$G$2:$G$801,Coding_800!$B$2:$B$801,B39,Coding_800!$C$2:$C$801,C39)</f>
        <v>3</v>
      </c>
      <c r="I39" s="3">
        <f t="shared" si="4"/>
        <v>30</v>
      </c>
      <c r="J39" t="str">
        <f t="shared" si="5"/>
        <v>Provisional - researcher check pending</v>
      </c>
    </row>
    <row r="40" spans="1:10">
      <c r="A40" t="s">
        <v>9</v>
      </c>
      <c r="B40" t="s">
        <v>31</v>
      </c>
      <c r="C40">
        <v>2024</v>
      </c>
      <c r="D40">
        <f>COUNTIFS(Coding_800!$B$2:$B$801,B40,Coding_800!$C$2:$C$801,C40,Coding_800!$M$2:$M$801,"Yes")</f>
        <v>0</v>
      </c>
      <c r="E40">
        <f>SUMIFS(Coding_800!$O$2:$O$801,Coding_800!$B$2:$B$801,B40,Coding_800!$C$2:$C$801,C40)</f>
        <v>7</v>
      </c>
      <c r="F40" s="3">
        <f t="shared" si="3"/>
        <v>70</v>
      </c>
      <c r="G40" s="3">
        <f>COUNTIFS(Coding_800!$B$2:$B$801,B40,Coding_800!$C$2:$C$801,C40,Coding_800!$G$2:$G$801,"&gt;=0")</f>
        <v>10</v>
      </c>
      <c r="H40" s="3">
        <f>SUMIFS(Coding_800!$G$2:$G$801,Coding_800!$B$2:$B$801,B40,Coding_800!$C$2:$C$801,C40)</f>
        <v>7</v>
      </c>
      <c r="I40" s="3">
        <f t="shared" si="4"/>
        <v>70</v>
      </c>
      <c r="J40" t="str">
        <f t="shared" si="5"/>
        <v>Provisional - researcher check pending</v>
      </c>
    </row>
    <row r="41" spans="1:10">
      <c r="A41" t="s">
        <v>9</v>
      </c>
      <c r="B41" t="s">
        <v>31</v>
      </c>
      <c r="C41">
        <v>2025</v>
      </c>
      <c r="D41">
        <f>COUNTIFS(Coding_800!$B$2:$B$801,B41,Coding_800!$C$2:$C$801,C41,Coding_800!$M$2:$M$801,"Yes")</f>
        <v>0</v>
      </c>
      <c r="E41">
        <f>SUMIFS(Coding_800!$O$2:$O$801,Coding_800!$B$2:$B$801,B41,Coding_800!$C$2:$C$801,C41)</f>
        <v>3</v>
      </c>
      <c r="F41" s="3">
        <f t="shared" si="3"/>
        <v>30</v>
      </c>
      <c r="G41" s="3">
        <f>COUNTIFS(Coding_800!$B$2:$B$801,B41,Coding_800!$C$2:$C$801,C41,Coding_800!$G$2:$G$801,"&gt;=0")</f>
        <v>10</v>
      </c>
      <c r="H41" s="3">
        <f>SUMIFS(Coding_800!$G$2:$G$801,Coding_800!$B$2:$B$801,B41,Coding_800!$C$2:$C$801,C41)</f>
        <v>3</v>
      </c>
      <c r="I41" s="3">
        <f t="shared" si="4"/>
        <v>30</v>
      </c>
      <c r="J41" t="str">
        <f t="shared" si="5"/>
        <v>Provisional - researcher check pending</v>
      </c>
    </row>
    <row r="42" spans="1:10">
      <c r="A42" t="s">
        <v>9</v>
      </c>
      <c r="B42" t="s">
        <v>34</v>
      </c>
      <c r="C42">
        <v>2022</v>
      </c>
      <c r="D42">
        <f>COUNTIFS(Coding_800!$B$2:$B$801,B42,Coding_800!$C$2:$C$801,C42,Coding_800!$M$2:$M$801,"Yes")</f>
        <v>0</v>
      </c>
      <c r="E42">
        <f>SUMIFS(Coding_800!$O$2:$O$801,Coding_800!$B$2:$B$801,B42,Coding_800!$C$2:$C$801,C42)</f>
        <v>6</v>
      </c>
      <c r="F42" s="3">
        <f t="shared" si="3"/>
        <v>60</v>
      </c>
      <c r="G42" s="3">
        <f>COUNTIFS(Coding_800!$B$2:$B$801,B42,Coding_800!$C$2:$C$801,C42,Coding_800!$G$2:$G$801,"&gt;=0")</f>
        <v>10</v>
      </c>
      <c r="H42" s="3">
        <f>SUMIFS(Coding_800!$G$2:$G$801,Coding_800!$B$2:$B$801,B42,Coding_800!$C$2:$C$801,C42)</f>
        <v>6</v>
      </c>
      <c r="I42" s="3">
        <f t="shared" si="4"/>
        <v>60</v>
      </c>
      <c r="J42" t="str">
        <f t="shared" si="5"/>
        <v>Provisional - researcher check pending</v>
      </c>
    </row>
    <row r="43" spans="1:10">
      <c r="A43" t="s">
        <v>9</v>
      </c>
      <c r="B43" t="s">
        <v>34</v>
      </c>
      <c r="C43">
        <v>2023</v>
      </c>
      <c r="D43">
        <f>COUNTIFS(Coding_800!$B$2:$B$801,B43,Coding_800!$C$2:$C$801,C43,Coding_800!$M$2:$M$801,"Yes")</f>
        <v>0</v>
      </c>
      <c r="E43">
        <f>SUMIFS(Coding_800!$O$2:$O$801,Coding_800!$B$2:$B$801,B43,Coding_800!$C$2:$C$801,C43)</f>
        <v>6</v>
      </c>
      <c r="F43" s="3">
        <f t="shared" si="3"/>
        <v>60</v>
      </c>
      <c r="G43" s="3">
        <f>COUNTIFS(Coding_800!$B$2:$B$801,B43,Coding_800!$C$2:$C$801,C43,Coding_800!$G$2:$G$801,"&gt;=0")</f>
        <v>10</v>
      </c>
      <c r="H43" s="3">
        <f>SUMIFS(Coding_800!$G$2:$G$801,Coding_800!$B$2:$B$801,B43,Coding_800!$C$2:$C$801,C43)</f>
        <v>6</v>
      </c>
      <c r="I43" s="3">
        <f t="shared" si="4"/>
        <v>60</v>
      </c>
      <c r="J43" t="str">
        <f t="shared" si="5"/>
        <v>Provisional - researcher check pending</v>
      </c>
    </row>
    <row r="44" spans="1:10">
      <c r="A44" t="s">
        <v>9</v>
      </c>
      <c r="B44" t="s">
        <v>34</v>
      </c>
      <c r="C44">
        <v>2024</v>
      </c>
      <c r="D44">
        <f>COUNTIFS(Coding_800!$B$2:$B$801,B44,Coding_800!$C$2:$C$801,C44,Coding_800!$M$2:$M$801,"Yes")</f>
        <v>0</v>
      </c>
      <c r="E44">
        <f>SUMIFS(Coding_800!$O$2:$O$801,Coding_800!$B$2:$B$801,B44,Coding_800!$C$2:$C$801,C44)</f>
        <v>5</v>
      </c>
      <c r="F44" s="3">
        <f t="shared" si="3"/>
        <v>50</v>
      </c>
      <c r="G44" s="3">
        <f>COUNTIFS(Coding_800!$B$2:$B$801,B44,Coding_800!$C$2:$C$801,C44,Coding_800!$G$2:$G$801,"&gt;=0")</f>
        <v>10</v>
      </c>
      <c r="H44" s="3">
        <f>SUMIFS(Coding_800!$G$2:$G$801,Coding_800!$B$2:$B$801,B44,Coding_800!$C$2:$C$801,C44)</f>
        <v>5</v>
      </c>
      <c r="I44" s="3">
        <f t="shared" si="4"/>
        <v>50</v>
      </c>
      <c r="J44" t="str">
        <f t="shared" si="5"/>
        <v>Provisional - researcher check pending</v>
      </c>
    </row>
    <row r="45" spans="1:10">
      <c r="A45" t="s">
        <v>9</v>
      </c>
      <c r="B45" t="s">
        <v>34</v>
      </c>
      <c r="C45">
        <v>2025</v>
      </c>
      <c r="D45">
        <f>COUNTIFS(Coding_800!$B$2:$B$801,B45,Coding_800!$C$2:$C$801,C45,Coding_800!$M$2:$M$801,"Yes")</f>
        <v>0</v>
      </c>
      <c r="E45">
        <f>SUMIFS(Coding_800!$O$2:$O$801,Coding_800!$B$2:$B$801,B45,Coding_800!$C$2:$C$801,C45)</f>
        <v>6</v>
      </c>
      <c r="F45" s="3">
        <f t="shared" si="3"/>
        <v>60</v>
      </c>
      <c r="G45" s="3">
        <f>COUNTIFS(Coding_800!$B$2:$B$801,B45,Coding_800!$C$2:$C$801,C45,Coding_800!$G$2:$G$801,"&gt;=0")</f>
        <v>10</v>
      </c>
      <c r="H45" s="3">
        <f>SUMIFS(Coding_800!$G$2:$G$801,Coding_800!$B$2:$B$801,B45,Coding_800!$C$2:$C$801,C45)</f>
        <v>6</v>
      </c>
      <c r="I45" s="3">
        <f t="shared" si="4"/>
        <v>60</v>
      </c>
      <c r="J45" t="str">
        <f t="shared" si="5"/>
        <v>Provisional - researcher check pending</v>
      </c>
    </row>
    <row r="46" spans="1:10">
      <c r="A46" t="s">
        <v>9</v>
      </c>
      <c r="B46" t="s">
        <v>36</v>
      </c>
      <c r="C46">
        <v>2022</v>
      </c>
      <c r="D46">
        <f>COUNTIFS(Coding_800!$B$2:$B$801,B46,Coding_800!$C$2:$C$801,C46,Coding_800!$M$2:$M$801,"Yes")</f>
        <v>0</v>
      </c>
      <c r="E46">
        <f>SUMIFS(Coding_800!$O$2:$O$801,Coding_800!$B$2:$B$801,B46,Coding_800!$C$2:$C$801,C46)</f>
        <v>0</v>
      </c>
      <c r="F46" s="3">
        <f t="shared" si="3"/>
        <v>0</v>
      </c>
      <c r="G46" s="3">
        <f>COUNTIFS(Coding_800!$B$2:$B$801,B46,Coding_800!$C$2:$C$801,C46,Coding_800!$G$2:$G$801,"&gt;=0")</f>
        <v>10</v>
      </c>
      <c r="H46" s="3">
        <f>SUMIFS(Coding_800!$G$2:$G$801,Coding_800!$B$2:$B$801,B46,Coding_800!$C$2:$C$801,C46)</f>
        <v>0</v>
      </c>
      <c r="I46" s="3">
        <f t="shared" si="4"/>
        <v>0</v>
      </c>
      <c r="J46" t="str">
        <f t="shared" si="5"/>
        <v>Provisional - researcher check pending</v>
      </c>
    </row>
    <row r="47" spans="1:10">
      <c r="A47" t="s">
        <v>9</v>
      </c>
      <c r="B47" t="s">
        <v>36</v>
      </c>
      <c r="C47">
        <v>2023</v>
      </c>
      <c r="D47">
        <f>COUNTIFS(Coding_800!$B$2:$B$801,B47,Coding_800!$C$2:$C$801,C47,Coding_800!$M$2:$M$801,"Yes")</f>
        <v>0</v>
      </c>
      <c r="E47">
        <f>SUMIFS(Coding_800!$O$2:$O$801,Coding_800!$B$2:$B$801,B47,Coding_800!$C$2:$C$801,C47)</f>
        <v>0</v>
      </c>
      <c r="F47" s="3">
        <f t="shared" si="3"/>
        <v>0</v>
      </c>
      <c r="G47" s="3">
        <f>COUNTIFS(Coding_800!$B$2:$B$801,B47,Coding_800!$C$2:$C$801,C47,Coding_800!$G$2:$G$801,"&gt;=0")</f>
        <v>10</v>
      </c>
      <c r="H47" s="3">
        <f>SUMIFS(Coding_800!$G$2:$G$801,Coding_800!$B$2:$B$801,B47,Coding_800!$C$2:$C$801,C47)</f>
        <v>0</v>
      </c>
      <c r="I47" s="3">
        <f t="shared" si="4"/>
        <v>0</v>
      </c>
      <c r="J47" t="str">
        <f t="shared" si="5"/>
        <v>Provisional - researcher check pending</v>
      </c>
    </row>
    <row r="48" spans="1:10">
      <c r="A48" t="s">
        <v>9</v>
      </c>
      <c r="B48" t="s">
        <v>36</v>
      </c>
      <c r="C48">
        <v>2024</v>
      </c>
      <c r="D48">
        <f>COUNTIFS(Coding_800!$B$2:$B$801,B48,Coding_800!$C$2:$C$801,C48,Coding_800!$M$2:$M$801,"Yes")</f>
        <v>0</v>
      </c>
      <c r="E48">
        <f>SUMIFS(Coding_800!$O$2:$O$801,Coding_800!$B$2:$B$801,B48,Coding_800!$C$2:$C$801,C48)</f>
        <v>0</v>
      </c>
      <c r="F48" s="3">
        <f t="shared" si="3"/>
        <v>0</v>
      </c>
      <c r="G48" s="3">
        <f>COUNTIFS(Coding_800!$B$2:$B$801,B48,Coding_800!$C$2:$C$801,C48,Coding_800!$G$2:$G$801,"&gt;=0")</f>
        <v>10</v>
      </c>
      <c r="H48" s="3">
        <f>SUMIFS(Coding_800!$G$2:$G$801,Coding_800!$B$2:$B$801,B48,Coding_800!$C$2:$C$801,C48)</f>
        <v>0</v>
      </c>
      <c r="I48" s="3">
        <f t="shared" si="4"/>
        <v>0</v>
      </c>
      <c r="J48" t="str">
        <f t="shared" si="5"/>
        <v>Provisional - researcher check pending</v>
      </c>
    </row>
    <row r="49" spans="1:10">
      <c r="A49" t="s">
        <v>9</v>
      </c>
      <c r="B49" t="s">
        <v>36</v>
      </c>
      <c r="C49">
        <v>2025</v>
      </c>
      <c r="D49">
        <f>COUNTIFS(Coding_800!$B$2:$B$801,B49,Coding_800!$C$2:$C$801,C49,Coding_800!$M$2:$M$801,"Yes")</f>
        <v>0</v>
      </c>
      <c r="E49">
        <f>SUMIFS(Coding_800!$O$2:$O$801,Coding_800!$B$2:$B$801,B49,Coding_800!$C$2:$C$801,C49)</f>
        <v>1</v>
      </c>
      <c r="F49" s="3">
        <f t="shared" si="3"/>
        <v>10</v>
      </c>
      <c r="G49" s="3">
        <f>COUNTIFS(Coding_800!$B$2:$B$801,B49,Coding_800!$C$2:$C$801,C49,Coding_800!$G$2:$G$801,"&gt;=0")</f>
        <v>10</v>
      </c>
      <c r="H49" s="3">
        <f>SUMIFS(Coding_800!$G$2:$G$801,Coding_800!$B$2:$B$801,B49,Coding_800!$C$2:$C$801,C49)</f>
        <v>1</v>
      </c>
      <c r="I49" s="3">
        <f t="shared" si="4"/>
        <v>10</v>
      </c>
      <c r="J49" t="str">
        <f t="shared" si="5"/>
        <v>Provisional - researcher check pending</v>
      </c>
    </row>
    <row r="50" spans="1:10">
      <c r="A50" t="s">
        <v>9</v>
      </c>
      <c r="B50" t="s">
        <v>39</v>
      </c>
      <c r="C50">
        <v>2022</v>
      </c>
      <c r="D50">
        <f>COUNTIFS(Coding_800!$B$2:$B$801,B50,Coding_800!$C$2:$C$801,C50,Coding_800!$M$2:$M$801,"Yes")</f>
        <v>0</v>
      </c>
      <c r="E50">
        <f>SUMIFS(Coding_800!$O$2:$O$801,Coding_800!$B$2:$B$801,B50,Coding_800!$C$2:$C$801,C50)</f>
        <v>3</v>
      </c>
      <c r="F50" s="3">
        <f t="shared" si="3"/>
        <v>30</v>
      </c>
      <c r="G50" s="3">
        <f>COUNTIFS(Coding_800!$B$2:$B$801,B50,Coding_800!$C$2:$C$801,C50,Coding_800!$G$2:$G$801,"&gt;=0")</f>
        <v>10</v>
      </c>
      <c r="H50" s="3">
        <f>SUMIFS(Coding_800!$G$2:$G$801,Coding_800!$B$2:$B$801,B50,Coding_800!$C$2:$C$801,C50)</f>
        <v>3</v>
      </c>
      <c r="I50" s="3">
        <f t="shared" si="4"/>
        <v>30</v>
      </c>
      <c r="J50" t="str">
        <f t="shared" si="5"/>
        <v>Provisional - researcher check pending</v>
      </c>
    </row>
    <row r="51" spans="1:10">
      <c r="A51" t="s">
        <v>9</v>
      </c>
      <c r="B51" t="s">
        <v>39</v>
      </c>
      <c r="C51">
        <v>2023</v>
      </c>
      <c r="D51">
        <f>COUNTIFS(Coding_800!$B$2:$B$801,B51,Coding_800!$C$2:$C$801,C51,Coding_800!$M$2:$M$801,"Yes")</f>
        <v>0</v>
      </c>
      <c r="E51">
        <f>SUMIFS(Coding_800!$O$2:$O$801,Coding_800!$B$2:$B$801,B51,Coding_800!$C$2:$C$801,C51)</f>
        <v>3</v>
      </c>
      <c r="F51" s="3">
        <f t="shared" si="3"/>
        <v>30</v>
      </c>
      <c r="G51" s="3">
        <f>COUNTIFS(Coding_800!$B$2:$B$801,B51,Coding_800!$C$2:$C$801,C51,Coding_800!$G$2:$G$801,"&gt;=0")</f>
        <v>10</v>
      </c>
      <c r="H51" s="3">
        <f>SUMIFS(Coding_800!$G$2:$G$801,Coding_800!$B$2:$B$801,B51,Coding_800!$C$2:$C$801,C51)</f>
        <v>3</v>
      </c>
      <c r="I51" s="3">
        <f t="shared" si="4"/>
        <v>30</v>
      </c>
      <c r="J51" t="str">
        <f t="shared" si="5"/>
        <v>Provisional - researcher check pending</v>
      </c>
    </row>
    <row r="52" spans="1:10">
      <c r="A52" t="s">
        <v>9</v>
      </c>
      <c r="B52" t="s">
        <v>39</v>
      </c>
      <c r="C52">
        <v>2024</v>
      </c>
      <c r="D52">
        <f>COUNTIFS(Coding_800!$B$2:$B$801,B52,Coding_800!$C$2:$C$801,C52,Coding_800!$M$2:$M$801,"Yes")</f>
        <v>0</v>
      </c>
      <c r="E52">
        <f>SUMIFS(Coding_800!$O$2:$O$801,Coding_800!$B$2:$B$801,B52,Coding_800!$C$2:$C$801,C52)</f>
        <v>3</v>
      </c>
      <c r="F52" s="3">
        <f t="shared" si="3"/>
        <v>30</v>
      </c>
      <c r="G52" s="3">
        <f>COUNTIFS(Coding_800!$B$2:$B$801,B52,Coding_800!$C$2:$C$801,C52,Coding_800!$G$2:$G$801,"&gt;=0")</f>
        <v>10</v>
      </c>
      <c r="H52" s="3">
        <f>SUMIFS(Coding_800!$G$2:$G$801,Coding_800!$B$2:$B$801,B52,Coding_800!$C$2:$C$801,C52)</f>
        <v>3</v>
      </c>
      <c r="I52" s="3">
        <f t="shared" si="4"/>
        <v>30</v>
      </c>
      <c r="J52" t="str">
        <f t="shared" si="5"/>
        <v>Provisional - researcher check pending</v>
      </c>
    </row>
    <row r="53" spans="1:10">
      <c r="A53" t="s">
        <v>9</v>
      </c>
      <c r="B53" t="s">
        <v>39</v>
      </c>
      <c r="C53">
        <v>2025</v>
      </c>
      <c r="D53">
        <f>COUNTIFS(Coding_800!$B$2:$B$801,B53,Coding_800!$C$2:$C$801,C53,Coding_800!$M$2:$M$801,"Yes")</f>
        <v>0</v>
      </c>
      <c r="E53">
        <f>SUMIFS(Coding_800!$O$2:$O$801,Coding_800!$B$2:$B$801,B53,Coding_800!$C$2:$C$801,C53)</f>
        <v>4</v>
      </c>
      <c r="F53" s="3">
        <f t="shared" si="3"/>
        <v>40</v>
      </c>
      <c r="G53" s="3">
        <f>COUNTIFS(Coding_800!$B$2:$B$801,B53,Coding_800!$C$2:$C$801,C53,Coding_800!$G$2:$G$801,"&gt;=0")</f>
        <v>10</v>
      </c>
      <c r="H53" s="3">
        <f>SUMIFS(Coding_800!$G$2:$G$801,Coding_800!$B$2:$B$801,B53,Coding_800!$C$2:$C$801,C53)</f>
        <v>4</v>
      </c>
      <c r="I53" s="3">
        <f t="shared" si="4"/>
        <v>40</v>
      </c>
      <c r="J53" t="str">
        <f t="shared" si="5"/>
        <v>Provisional - researcher check pending</v>
      </c>
    </row>
    <row r="54" spans="1:10">
      <c r="A54" t="s">
        <v>9</v>
      </c>
      <c r="B54" t="s">
        <v>41</v>
      </c>
      <c r="C54">
        <v>2022</v>
      </c>
      <c r="D54">
        <f>COUNTIFS(Coding_800!$B$2:$B$801,B54,Coding_800!$C$2:$C$801,C54,Coding_800!$M$2:$M$801,"Yes")</f>
        <v>0</v>
      </c>
      <c r="E54">
        <f>SUMIFS(Coding_800!$O$2:$O$801,Coding_800!$B$2:$B$801,B54,Coding_800!$C$2:$C$801,C54)</f>
        <v>4</v>
      </c>
      <c r="F54" s="3">
        <f t="shared" si="3"/>
        <v>40</v>
      </c>
      <c r="G54" s="3">
        <f>COUNTIFS(Coding_800!$B$2:$B$801,B54,Coding_800!$C$2:$C$801,C54,Coding_800!$G$2:$G$801,"&gt;=0")</f>
        <v>10</v>
      </c>
      <c r="H54" s="3">
        <f>SUMIFS(Coding_800!$G$2:$G$801,Coding_800!$B$2:$B$801,B54,Coding_800!$C$2:$C$801,C54)</f>
        <v>4</v>
      </c>
      <c r="I54" s="3">
        <f t="shared" si="4"/>
        <v>40</v>
      </c>
      <c r="J54" t="str">
        <f t="shared" si="5"/>
        <v>Provisional - researcher check pending</v>
      </c>
    </row>
    <row r="55" spans="1:10">
      <c r="A55" t="s">
        <v>9</v>
      </c>
      <c r="B55" t="s">
        <v>41</v>
      </c>
      <c r="C55">
        <v>2023</v>
      </c>
      <c r="D55">
        <f>COUNTIFS(Coding_800!$B$2:$B$801,B55,Coding_800!$C$2:$C$801,C55,Coding_800!$M$2:$M$801,"Yes")</f>
        <v>0</v>
      </c>
      <c r="E55">
        <f>SUMIFS(Coding_800!$O$2:$O$801,Coding_800!$B$2:$B$801,B55,Coding_800!$C$2:$C$801,C55)</f>
        <v>5</v>
      </c>
      <c r="F55" s="3">
        <f t="shared" si="3"/>
        <v>50</v>
      </c>
      <c r="G55" s="3">
        <f>COUNTIFS(Coding_800!$B$2:$B$801,B55,Coding_800!$C$2:$C$801,C55,Coding_800!$G$2:$G$801,"&gt;=0")</f>
        <v>10</v>
      </c>
      <c r="H55" s="3">
        <f>SUMIFS(Coding_800!$G$2:$G$801,Coding_800!$B$2:$B$801,B55,Coding_800!$C$2:$C$801,C55)</f>
        <v>5</v>
      </c>
      <c r="I55" s="3">
        <f t="shared" si="4"/>
        <v>50</v>
      </c>
      <c r="J55" t="str">
        <f t="shared" si="5"/>
        <v>Provisional - researcher check pending</v>
      </c>
    </row>
    <row r="56" spans="1:10">
      <c r="A56" t="s">
        <v>9</v>
      </c>
      <c r="B56" t="s">
        <v>41</v>
      </c>
      <c r="C56">
        <v>2024</v>
      </c>
      <c r="D56">
        <f>COUNTIFS(Coding_800!$B$2:$B$801,B56,Coding_800!$C$2:$C$801,C56,Coding_800!$M$2:$M$801,"Yes")</f>
        <v>0</v>
      </c>
      <c r="E56">
        <f>SUMIFS(Coding_800!$O$2:$O$801,Coding_800!$B$2:$B$801,B56,Coding_800!$C$2:$C$801,C56)</f>
        <v>3</v>
      </c>
      <c r="F56" s="3">
        <f t="shared" si="3"/>
        <v>30</v>
      </c>
      <c r="G56" s="3">
        <f>COUNTIFS(Coding_800!$B$2:$B$801,B56,Coding_800!$C$2:$C$801,C56,Coding_800!$G$2:$G$801,"&gt;=0")</f>
        <v>10</v>
      </c>
      <c r="H56" s="3">
        <f>SUMIFS(Coding_800!$G$2:$G$801,Coding_800!$B$2:$B$801,B56,Coding_800!$C$2:$C$801,C56)</f>
        <v>3</v>
      </c>
      <c r="I56" s="3">
        <f t="shared" si="4"/>
        <v>30</v>
      </c>
      <c r="J56" t="str">
        <f t="shared" si="5"/>
        <v>Provisional - researcher check pending</v>
      </c>
    </row>
    <row r="57" spans="1:10">
      <c r="A57" t="s">
        <v>9</v>
      </c>
      <c r="B57" t="s">
        <v>41</v>
      </c>
      <c r="C57">
        <v>2025</v>
      </c>
      <c r="D57">
        <f>COUNTIFS(Coding_800!$B$2:$B$801,B57,Coding_800!$C$2:$C$801,C57,Coding_800!$M$2:$M$801,"Yes")</f>
        <v>0</v>
      </c>
      <c r="E57">
        <f>SUMIFS(Coding_800!$O$2:$O$801,Coding_800!$B$2:$B$801,B57,Coding_800!$C$2:$C$801,C57)</f>
        <v>3</v>
      </c>
      <c r="F57" s="3">
        <f t="shared" si="3"/>
        <v>30</v>
      </c>
      <c r="G57" s="3">
        <f>COUNTIFS(Coding_800!$B$2:$B$801,B57,Coding_800!$C$2:$C$801,C57,Coding_800!$G$2:$G$801,"&gt;=0")</f>
        <v>10</v>
      </c>
      <c r="H57" s="3">
        <f>SUMIFS(Coding_800!$G$2:$G$801,Coding_800!$B$2:$B$801,B57,Coding_800!$C$2:$C$801,C57)</f>
        <v>3</v>
      </c>
      <c r="I57" s="3">
        <f t="shared" si="4"/>
        <v>30</v>
      </c>
      <c r="J57" t="str">
        <f t="shared" si="5"/>
        <v>Provisional - researcher check pending</v>
      </c>
    </row>
    <row r="58" spans="1:10">
      <c r="A58" t="s">
        <v>9</v>
      </c>
      <c r="B58" t="s">
        <v>44</v>
      </c>
      <c r="C58">
        <v>2022</v>
      </c>
      <c r="D58">
        <f>COUNTIFS(Coding_800!$B$2:$B$801,B58,Coding_800!$C$2:$C$801,C58,Coding_800!$M$2:$M$801,"Yes")</f>
        <v>0</v>
      </c>
      <c r="E58">
        <f>SUMIFS(Coding_800!$O$2:$O$801,Coding_800!$B$2:$B$801,B58,Coding_800!$C$2:$C$801,C58)</f>
        <v>5</v>
      </c>
      <c r="F58" s="3">
        <f t="shared" si="3"/>
        <v>50</v>
      </c>
      <c r="G58" s="3">
        <f>COUNTIFS(Coding_800!$B$2:$B$801,B58,Coding_800!$C$2:$C$801,C58,Coding_800!$G$2:$G$801,"&gt;=0")</f>
        <v>10</v>
      </c>
      <c r="H58" s="3">
        <f>SUMIFS(Coding_800!$G$2:$G$801,Coding_800!$B$2:$B$801,B58,Coding_800!$C$2:$C$801,C58)</f>
        <v>5</v>
      </c>
      <c r="I58" s="3">
        <f t="shared" si="4"/>
        <v>50</v>
      </c>
      <c r="J58" t="str">
        <f t="shared" si="5"/>
        <v>Provisional - researcher check pending</v>
      </c>
    </row>
    <row r="59" spans="1:10">
      <c r="A59" t="s">
        <v>9</v>
      </c>
      <c r="B59" t="s">
        <v>44</v>
      </c>
      <c r="C59">
        <v>2023</v>
      </c>
      <c r="D59">
        <f>COUNTIFS(Coding_800!$B$2:$B$801,B59,Coding_800!$C$2:$C$801,C59,Coding_800!$M$2:$M$801,"Yes")</f>
        <v>0</v>
      </c>
      <c r="E59">
        <f>SUMIFS(Coding_800!$O$2:$O$801,Coding_800!$B$2:$B$801,B59,Coding_800!$C$2:$C$801,C59)</f>
        <v>4</v>
      </c>
      <c r="F59" s="3">
        <f t="shared" si="3"/>
        <v>40</v>
      </c>
      <c r="G59" s="3">
        <f>COUNTIFS(Coding_800!$B$2:$B$801,B59,Coding_800!$C$2:$C$801,C59,Coding_800!$G$2:$G$801,"&gt;=0")</f>
        <v>10</v>
      </c>
      <c r="H59" s="3">
        <f>SUMIFS(Coding_800!$G$2:$G$801,Coding_800!$B$2:$B$801,B59,Coding_800!$C$2:$C$801,C59)</f>
        <v>4</v>
      </c>
      <c r="I59" s="3">
        <f t="shared" si="4"/>
        <v>40</v>
      </c>
      <c r="J59" t="str">
        <f t="shared" si="5"/>
        <v>Provisional - researcher check pending</v>
      </c>
    </row>
    <row r="60" spans="1:10">
      <c r="A60" t="s">
        <v>9</v>
      </c>
      <c r="B60" t="s">
        <v>44</v>
      </c>
      <c r="C60">
        <v>2024</v>
      </c>
      <c r="D60">
        <f>COUNTIFS(Coding_800!$B$2:$B$801,B60,Coding_800!$C$2:$C$801,C60,Coding_800!$M$2:$M$801,"Yes")</f>
        <v>0</v>
      </c>
      <c r="E60">
        <f>SUMIFS(Coding_800!$O$2:$O$801,Coding_800!$B$2:$B$801,B60,Coding_800!$C$2:$C$801,C60)</f>
        <v>5</v>
      </c>
      <c r="F60" s="3">
        <f t="shared" si="3"/>
        <v>50</v>
      </c>
      <c r="G60" s="3">
        <f>COUNTIFS(Coding_800!$B$2:$B$801,B60,Coding_800!$C$2:$C$801,C60,Coding_800!$G$2:$G$801,"&gt;=0")</f>
        <v>10</v>
      </c>
      <c r="H60" s="3">
        <f>SUMIFS(Coding_800!$G$2:$G$801,Coding_800!$B$2:$B$801,B60,Coding_800!$C$2:$C$801,C60)</f>
        <v>5</v>
      </c>
      <c r="I60" s="3">
        <f t="shared" si="4"/>
        <v>50</v>
      </c>
      <c r="J60" t="str">
        <f t="shared" si="5"/>
        <v>Provisional - researcher check pending</v>
      </c>
    </row>
    <row r="61" spans="1:10">
      <c r="A61" t="s">
        <v>9</v>
      </c>
      <c r="B61" t="s">
        <v>44</v>
      </c>
      <c r="C61">
        <v>2025</v>
      </c>
      <c r="D61">
        <f>COUNTIFS(Coding_800!$B$2:$B$801,B61,Coding_800!$C$2:$C$801,C61,Coding_800!$M$2:$M$801,"Yes")</f>
        <v>0</v>
      </c>
      <c r="E61">
        <f>SUMIFS(Coding_800!$O$2:$O$801,Coding_800!$B$2:$B$801,B61,Coding_800!$C$2:$C$801,C61)</f>
        <v>2</v>
      </c>
      <c r="F61" s="3">
        <f t="shared" si="3"/>
        <v>20</v>
      </c>
      <c r="G61" s="3">
        <f>COUNTIFS(Coding_800!$B$2:$B$801,B61,Coding_800!$C$2:$C$801,C61,Coding_800!$G$2:$G$801,"&gt;=0")</f>
        <v>10</v>
      </c>
      <c r="H61" s="3">
        <f>SUMIFS(Coding_800!$G$2:$G$801,Coding_800!$B$2:$B$801,B61,Coding_800!$C$2:$C$801,C61)</f>
        <v>2</v>
      </c>
      <c r="I61" s="3">
        <f t="shared" si="4"/>
        <v>20</v>
      </c>
      <c r="J61" t="str">
        <f t="shared" si="5"/>
        <v>Provisional - researcher check pending</v>
      </c>
    </row>
    <row r="62" spans="1:10">
      <c r="A62" t="s">
        <v>50</v>
      </c>
      <c r="B62" t="s">
        <v>47</v>
      </c>
      <c r="C62">
        <v>2022</v>
      </c>
      <c r="D62">
        <f>COUNTIFS(Coding_800!$B$2:$B$801,B62,Coding_800!$C$2:$C$801,C62,Coding_800!$M$2:$M$801,"Yes")</f>
        <v>0</v>
      </c>
      <c r="E62">
        <f>SUMIFS(Coding_800!$O$2:$O$801,Coding_800!$B$2:$B$801,B62,Coding_800!$C$2:$C$801,C62)</f>
        <v>6</v>
      </c>
      <c r="F62" s="3">
        <f t="shared" si="3"/>
        <v>60</v>
      </c>
      <c r="G62" s="3">
        <f>COUNTIFS(Coding_800!$B$2:$B$801,B62,Coding_800!$C$2:$C$801,C62,Coding_800!$G$2:$G$801,"&gt;=0")</f>
        <v>10</v>
      </c>
      <c r="H62" s="3">
        <f>SUMIFS(Coding_800!$G$2:$G$801,Coding_800!$B$2:$B$801,B62,Coding_800!$C$2:$C$801,C62)</f>
        <v>6</v>
      </c>
      <c r="I62" s="3">
        <f t="shared" si="4"/>
        <v>60</v>
      </c>
      <c r="J62" t="str">
        <f t="shared" si="5"/>
        <v>Provisional - researcher check pending</v>
      </c>
    </row>
    <row r="63" spans="1:10">
      <c r="A63" t="s">
        <v>50</v>
      </c>
      <c r="B63" t="s">
        <v>47</v>
      </c>
      <c r="C63">
        <v>2023</v>
      </c>
      <c r="D63">
        <f>COUNTIFS(Coding_800!$B$2:$B$801,B63,Coding_800!$C$2:$C$801,C63,Coding_800!$M$2:$M$801,"Yes")</f>
        <v>0</v>
      </c>
      <c r="E63">
        <f>SUMIFS(Coding_800!$O$2:$O$801,Coding_800!$B$2:$B$801,B63,Coding_800!$C$2:$C$801,C63)</f>
        <v>6</v>
      </c>
      <c r="F63" s="3">
        <f t="shared" si="3"/>
        <v>60</v>
      </c>
      <c r="G63" s="3">
        <f>COUNTIFS(Coding_800!$B$2:$B$801,B63,Coding_800!$C$2:$C$801,C63,Coding_800!$G$2:$G$801,"&gt;=0")</f>
        <v>10</v>
      </c>
      <c r="H63" s="3">
        <f>SUMIFS(Coding_800!$G$2:$G$801,Coding_800!$B$2:$B$801,B63,Coding_800!$C$2:$C$801,C63)</f>
        <v>6</v>
      </c>
      <c r="I63" s="3">
        <f t="shared" si="4"/>
        <v>60</v>
      </c>
      <c r="J63" t="str">
        <f t="shared" si="5"/>
        <v>Provisional - researcher check pending</v>
      </c>
    </row>
    <row r="64" spans="1:10">
      <c r="A64" t="s">
        <v>50</v>
      </c>
      <c r="B64" t="s">
        <v>47</v>
      </c>
      <c r="C64">
        <v>2024</v>
      </c>
      <c r="D64">
        <f>COUNTIFS(Coding_800!$B$2:$B$801,B64,Coding_800!$C$2:$C$801,C64,Coding_800!$M$2:$M$801,"Yes")</f>
        <v>0</v>
      </c>
      <c r="E64">
        <f>SUMIFS(Coding_800!$O$2:$O$801,Coding_800!$B$2:$B$801,B64,Coding_800!$C$2:$C$801,C64)</f>
        <v>8</v>
      </c>
      <c r="F64" s="3">
        <f t="shared" si="3"/>
        <v>80</v>
      </c>
      <c r="G64" s="3">
        <f>COUNTIFS(Coding_800!$B$2:$B$801,B64,Coding_800!$C$2:$C$801,C64,Coding_800!$G$2:$G$801,"&gt;=0")</f>
        <v>10</v>
      </c>
      <c r="H64" s="3">
        <f>SUMIFS(Coding_800!$G$2:$G$801,Coding_800!$B$2:$B$801,B64,Coding_800!$C$2:$C$801,C64)</f>
        <v>8</v>
      </c>
      <c r="I64" s="3">
        <f t="shared" si="4"/>
        <v>80</v>
      </c>
      <c r="J64" t="str">
        <f t="shared" si="5"/>
        <v>Provisional - researcher check pending</v>
      </c>
    </row>
    <row r="65" spans="1:10">
      <c r="A65" t="s">
        <v>50</v>
      </c>
      <c r="B65" t="s">
        <v>47</v>
      </c>
      <c r="C65">
        <v>2025</v>
      </c>
      <c r="D65">
        <f>COUNTIFS(Coding_800!$B$2:$B$801,B65,Coding_800!$C$2:$C$801,C65,Coding_800!$M$2:$M$801,"Yes")</f>
        <v>0</v>
      </c>
      <c r="E65">
        <f>SUMIFS(Coding_800!$O$2:$O$801,Coding_800!$B$2:$B$801,B65,Coding_800!$C$2:$C$801,C65)</f>
        <v>7</v>
      </c>
      <c r="F65" s="3">
        <f t="shared" si="3"/>
        <v>70</v>
      </c>
      <c r="G65" s="3">
        <f>COUNTIFS(Coding_800!$B$2:$B$801,B65,Coding_800!$C$2:$C$801,C65,Coding_800!$G$2:$G$801,"&gt;=0")</f>
        <v>10</v>
      </c>
      <c r="H65" s="3">
        <f>SUMIFS(Coding_800!$G$2:$G$801,Coding_800!$B$2:$B$801,B65,Coding_800!$C$2:$C$801,C65)</f>
        <v>7</v>
      </c>
      <c r="I65" s="3">
        <f t="shared" si="4"/>
        <v>70</v>
      </c>
      <c r="J65" t="str">
        <f t="shared" si="5"/>
        <v>Provisional - researcher check pending</v>
      </c>
    </row>
    <row r="66" spans="1:10">
      <c r="A66" t="s">
        <v>50</v>
      </c>
      <c r="B66" t="s">
        <v>52</v>
      </c>
      <c r="C66">
        <v>2022</v>
      </c>
      <c r="D66">
        <f>COUNTIFS(Coding_800!$B$2:$B$801,B66,Coding_800!$C$2:$C$801,C66,Coding_800!$M$2:$M$801,"Yes")</f>
        <v>0</v>
      </c>
      <c r="E66">
        <f>SUMIFS(Coding_800!$O$2:$O$801,Coding_800!$B$2:$B$801,B66,Coding_800!$C$2:$C$801,C66)</f>
        <v>4</v>
      </c>
      <c r="F66" s="3">
        <f t="shared" ref="F66:F81" si="6">E66*10</f>
        <v>40</v>
      </c>
      <c r="G66" s="3">
        <f>COUNTIFS(Coding_800!$B$2:$B$801,B66,Coding_800!$C$2:$C$801,C66,Coding_800!$G$2:$G$801,"&gt;=0")</f>
        <v>10</v>
      </c>
      <c r="H66" s="3">
        <f>SUMIFS(Coding_800!$G$2:$G$801,Coding_800!$B$2:$B$801,B66,Coding_800!$C$2:$C$801,C66)</f>
        <v>4</v>
      </c>
      <c r="I66" s="3">
        <f t="shared" ref="I66:I81" si="7">H66*10</f>
        <v>40</v>
      </c>
      <c r="J66" t="str">
        <f t="shared" ref="J66:J81" si="8">IF(D66=10,"Yes - researcher verified","Provisional - researcher check pending")</f>
        <v>Provisional - researcher check pending</v>
      </c>
    </row>
    <row r="67" spans="1:10">
      <c r="A67" t="s">
        <v>50</v>
      </c>
      <c r="B67" t="s">
        <v>52</v>
      </c>
      <c r="C67">
        <v>2023</v>
      </c>
      <c r="D67">
        <f>COUNTIFS(Coding_800!$B$2:$B$801,B67,Coding_800!$C$2:$C$801,C67,Coding_800!$M$2:$M$801,"Yes")</f>
        <v>0</v>
      </c>
      <c r="E67">
        <f>SUMIFS(Coding_800!$O$2:$O$801,Coding_800!$B$2:$B$801,B67,Coding_800!$C$2:$C$801,C67)</f>
        <v>5</v>
      </c>
      <c r="F67" s="3">
        <f t="shared" si="6"/>
        <v>50</v>
      </c>
      <c r="G67" s="3">
        <f>COUNTIFS(Coding_800!$B$2:$B$801,B67,Coding_800!$C$2:$C$801,C67,Coding_800!$G$2:$G$801,"&gt;=0")</f>
        <v>10</v>
      </c>
      <c r="H67" s="3">
        <f>SUMIFS(Coding_800!$G$2:$G$801,Coding_800!$B$2:$B$801,B67,Coding_800!$C$2:$C$801,C67)</f>
        <v>5</v>
      </c>
      <c r="I67" s="3">
        <f t="shared" si="7"/>
        <v>50</v>
      </c>
      <c r="J67" t="str">
        <f t="shared" si="8"/>
        <v>Provisional - researcher check pending</v>
      </c>
    </row>
    <row r="68" spans="1:10">
      <c r="A68" t="s">
        <v>50</v>
      </c>
      <c r="B68" t="s">
        <v>52</v>
      </c>
      <c r="C68">
        <v>2024</v>
      </c>
      <c r="D68">
        <f>COUNTIFS(Coding_800!$B$2:$B$801,B68,Coding_800!$C$2:$C$801,C68,Coding_800!$M$2:$M$801,"Yes")</f>
        <v>0</v>
      </c>
      <c r="E68">
        <f>SUMIFS(Coding_800!$O$2:$O$801,Coding_800!$B$2:$B$801,B68,Coding_800!$C$2:$C$801,C68)</f>
        <v>4</v>
      </c>
      <c r="F68" s="3">
        <f t="shared" si="6"/>
        <v>40</v>
      </c>
      <c r="G68" s="3">
        <f>COUNTIFS(Coding_800!$B$2:$B$801,B68,Coding_800!$C$2:$C$801,C68,Coding_800!$G$2:$G$801,"&gt;=0")</f>
        <v>10</v>
      </c>
      <c r="H68" s="3">
        <f>SUMIFS(Coding_800!$G$2:$G$801,Coding_800!$B$2:$B$801,B68,Coding_800!$C$2:$C$801,C68)</f>
        <v>4</v>
      </c>
      <c r="I68" s="3">
        <f t="shared" si="7"/>
        <v>40</v>
      </c>
      <c r="J68" t="str">
        <f t="shared" si="8"/>
        <v>Provisional - researcher check pending</v>
      </c>
    </row>
    <row r="69" spans="1:10">
      <c r="A69" t="s">
        <v>50</v>
      </c>
      <c r="B69" t="s">
        <v>52</v>
      </c>
      <c r="C69">
        <v>2025</v>
      </c>
      <c r="D69">
        <f>COUNTIFS(Coding_800!$B$2:$B$801,B69,Coding_800!$C$2:$C$801,C69,Coding_800!$M$2:$M$801,"Yes")</f>
        <v>0</v>
      </c>
      <c r="E69">
        <f>SUMIFS(Coding_800!$O$2:$O$801,Coding_800!$B$2:$B$801,B69,Coding_800!$C$2:$C$801,C69)</f>
        <v>4</v>
      </c>
      <c r="F69" s="3">
        <f t="shared" si="6"/>
        <v>40</v>
      </c>
      <c r="G69" s="3">
        <f>COUNTIFS(Coding_800!$B$2:$B$801,B69,Coding_800!$C$2:$C$801,C69,Coding_800!$G$2:$G$801,"&gt;=0")</f>
        <v>10</v>
      </c>
      <c r="H69" s="3">
        <f>SUMIFS(Coding_800!$G$2:$G$801,Coding_800!$B$2:$B$801,B69,Coding_800!$C$2:$C$801,C69)</f>
        <v>4</v>
      </c>
      <c r="I69" s="3">
        <f t="shared" si="7"/>
        <v>40</v>
      </c>
      <c r="J69" t="str">
        <f t="shared" si="8"/>
        <v>Provisional - researcher check pending</v>
      </c>
    </row>
    <row r="70" spans="1:10">
      <c r="A70" t="s">
        <v>50</v>
      </c>
      <c r="B70" t="s">
        <v>55</v>
      </c>
      <c r="C70">
        <v>2022</v>
      </c>
      <c r="D70">
        <f>COUNTIFS(Coding_800!$B$2:$B$801,B70,Coding_800!$C$2:$C$801,C70,Coding_800!$M$2:$M$801,"Yes")</f>
        <v>0</v>
      </c>
      <c r="E70">
        <f>SUMIFS(Coding_800!$O$2:$O$801,Coding_800!$B$2:$B$801,B70,Coding_800!$C$2:$C$801,C70)</f>
        <v>5</v>
      </c>
      <c r="F70" s="3">
        <f t="shared" si="6"/>
        <v>50</v>
      </c>
      <c r="G70" s="3">
        <f>COUNTIFS(Coding_800!$B$2:$B$801,B70,Coding_800!$C$2:$C$801,C70,Coding_800!$G$2:$G$801,"&gt;=0")</f>
        <v>10</v>
      </c>
      <c r="H70" s="3">
        <f>SUMIFS(Coding_800!$G$2:$G$801,Coding_800!$B$2:$B$801,B70,Coding_800!$C$2:$C$801,C70)</f>
        <v>5</v>
      </c>
      <c r="I70" s="3">
        <f t="shared" si="7"/>
        <v>50</v>
      </c>
      <c r="J70" t="str">
        <f t="shared" si="8"/>
        <v>Provisional - researcher check pending</v>
      </c>
    </row>
    <row r="71" spans="1:10">
      <c r="A71" t="s">
        <v>50</v>
      </c>
      <c r="B71" t="s">
        <v>55</v>
      </c>
      <c r="C71">
        <v>2023</v>
      </c>
      <c r="D71">
        <f>COUNTIFS(Coding_800!$B$2:$B$801,B71,Coding_800!$C$2:$C$801,C71,Coding_800!$M$2:$M$801,"Yes")</f>
        <v>0</v>
      </c>
      <c r="E71">
        <f>SUMIFS(Coding_800!$O$2:$O$801,Coding_800!$B$2:$B$801,B71,Coding_800!$C$2:$C$801,C71)</f>
        <v>7</v>
      </c>
      <c r="F71" s="3">
        <f t="shared" si="6"/>
        <v>70</v>
      </c>
      <c r="G71" s="3">
        <f>COUNTIFS(Coding_800!$B$2:$B$801,B71,Coding_800!$C$2:$C$801,C71,Coding_800!$G$2:$G$801,"&gt;=0")</f>
        <v>10</v>
      </c>
      <c r="H71" s="3">
        <f>SUMIFS(Coding_800!$G$2:$G$801,Coding_800!$B$2:$B$801,B71,Coding_800!$C$2:$C$801,C71)</f>
        <v>7</v>
      </c>
      <c r="I71" s="3">
        <f t="shared" si="7"/>
        <v>70</v>
      </c>
      <c r="J71" t="str">
        <f t="shared" si="8"/>
        <v>Provisional - researcher check pending</v>
      </c>
    </row>
    <row r="72" spans="1:10">
      <c r="A72" t="s">
        <v>50</v>
      </c>
      <c r="B72" t="s">
        <v>55</v>
      </c>
      <c r="C72">
        <v>2024</v>
      </c>
      <c r="D72">
        <f>COUNTIFS(Coding_800!$B$2:$B$801,B72,Coding_800!$C$2:$C$801,C72,Coding_800!$M$2:$M$801,"Yes")</f>
        <v>0</v>
      </c>
      <c r="E72">
        <f>SUMIFS(Coding_800!$O$2:$O$801,Coding_800!$B$2:$B$801,B72,Coding_800!$C$2:$C$801,C72)</f>
        <v>8</v>
      </c>
      <c r="F72" s="3">
        <f t="shared" si="6"/>
        <v>80</v>
      </c>
      <c r="G72" s="3">
        <f>COUNTIFS(Coding_800!$B$2:$B$801,B72,Coding_800!$C$2:$C$801,C72,Coding_800!$G$2:$G$801,"&gt;=0")</f>
        <v>10</v>
      </c>
      <c r="H72" s="3">
        <f>SUMIFS(Coding_800!$G$2:$G$801,Coding_800!$B$2:$B$801,B72,Coding_800!$C$2:$C$801,C72)</f>
        <v>8</v>
      </c>
      <c r="I72" s="3">
        <f t="shared" si="7"/>
        <v>80</v>
      </c>
      <c r="J72" t="str">
        <f t="shared" si="8"/>
        <v>Provisional - researcher check pending</v>
      </c>
    </row>
    <row r="73" spans="1:10">
      <c r="A73" t="s">
        <v>50</v>
      </c>
      <c r="B73" t="s">
        <v>55</v>
      </c>
      <c r="C73">
        <v>2025</v>
      </c>
      <c r="D73">
        <f>COUNTIFS(Coding_800!$B$2:$B$801,B73,Coding_800!$C$2:$C$801,C73,Coding_800!$M$2:$M$801,"Yes")</f>
        <v>0</v>
      </c>
      <c r="E73">
        <f>SUMIFS(Coding_800!$O$2:$O$801,Coding_800!$B$2:$B$801,B73,Coding_800!$C$2:$C$801,C73)</f>
        <v>4</v>
      </c>
      <c r="F73" s="3">
        <f t="shared" si="6"/>
        <v>40</v>
      </c>
      <c r="G73" s="3">
        <f>COUNTIFS(Coding_800!$B$2:$B$801,B73,Coding_800!$C$2:$C$801,C73,Coding_800!$G$2:$G$801,"&gt;=0")</f>
        <v>10</v>
      </c>
      <c r="H73" s="3">
        <f>SUMIFS(Coding_800!$G$2:$G$801,Coding_800!$B$2:$B$801,B73,Coding_800!$C$2:$C$801,C73)</f>
        <v>4</v>
      </c>
      <c r="I73" s="3">
        <f t="shared" si="7"/>
        <v>40</v>
      </c>
      <c r="J73" t="str">
        <f t="shared" si="8"/>
        <v>Provisional - researcher check pending</v>
      </c>
    </row>
    <row r="74" spans="1:10">
      <c r="A74" t="s">
        <v>50</v>
      </c>
      <c r="B74" t="s">
        <v>58</v>
      </c>
      <c r="C74">
        <v>2022</v>
      </c>
      <c r="D74">
        <f>COUNTIFS(Coding_800!$B$2:$B$801,B74,Coding_800!$C$2:$C$801,C74,Coding_800!$M$2:$M$801,"Yes")</f>
        <v>0</v>
      </c>
      <c r="E74">
        <f>SUMIFS(Coding_800!$O$2:$O$801,Coding_800!$B$2:$B$801,B74,Coding_800!$C$2:$C$801,C74)</f>
        <v>7</v>
      </c>
      <c r="F74" s="3">
        <f t="shared" si="6"/>
        <v>70</v>
      </c>
      <c r="G74" s="3">
        <f>COUNTIFS(Coding_800!$B$2:$B$801,B74,Coding_800!$C$2:$C$801,C74,Coding_800!$G$2:$G$801,"&gt;=0")</f>
        <v>10</v>
      </c>
      <c r="H74" s="3">
        <f>SUMIFS(Coding_800!$G$2:$G$801,Coding_800!$B$2:$B$801,B74,Coding_800!$C$2:$C$801,C74)</f>
        <v>7</v>
      </c>
      <c r="I74" s="3">
        <f t="shared" si="7"/>
        <v>70</v>
      </c>
      <c r="J74" t="str">
        <f t="shared" si="8"/>
        <v>Provisional - researcher check pending</v>
      </c>
    </row>
    <row r="75" spans="1:10">
      <c r="A75" t="s">
        <v>50</v>
      </c>
      <c r="B75" t="s">
        <v>58</v>
      </c>
      <c r="C75">
        <v>2023</v>
      </c>
      <c r="D75">
        <f>COUNTIFS(Coding_800!$B$2:$B$801,B75,Coding_800!$C$2:$C$801,C75,Coding_800!$M$2:$M$801,"Yes")</f>
        <v>0</v>
      </c>
      <c r="E75">
        <f>SUMIFS(Coding_800!$O$2:$O$801,Coding_800!$B$2:$B$801,B75,Coding_800!$C$2:$C$801,C75)</f>
        <v>7</v>
      </c>
      <c r="F75" s="3">
        <f t="shared" si="6"/>
        <v>70</v>
      </c>
      <c r="G75" s="3">
        <f>COUNTIFS(Coding_800!$B$2:$B$801,B75,Coding_800!$C$2:$C$801,C75,Coding_800!$G$2:$G$801,"&gt;=0")</f>
        <v>10</v>
      </c>
      <c r="H75" s="3">
        <f>SUMIFS(Coding_800!$G$2:$G$801,Coding_800!$B$2:$B$801,B75,Coding_800!$C$2:$C$801,C75)</f>
        <v>7</v>
      </c>
      <c r="I75" s="3">
        <f t="shared" si="7"/>
        <v>70</v>
      </c>
      <c r="J75" t="str">
        <f t="shared" si="8"/>
        <v>Provisional - researcher check pending</v>
      </c>
    </row>
    <row r="76" spans="1:10">
      <c r="A76" t="s">
        <v>50</v>
      </c>
      <c r="B76" t="s">
        <v>58</v>
      </c>
      <c r="C76">
        <v>2024</v>
      </c>
      <c r="D76">
        <f>COUNTIFS(Coding_800!$B$2:$B$801,B76,Coding_800!$C$2:$C$801,C76,Coding_800!$M$2:$M$801,"Yes")</f>
        <v>0</v>
      </c>
      <c r="E76">
        <f>SUMIFS(Coding_800!$O$2:$O$801,Coding_800!$B$2:$B$801,B76,Coding_800!$C$2:$C$801,C76)</f>
        <v>7</v>
      </c>
      <c r="F76" s="3">
        <f t="shared" si="6"/>
        <v>70</v>
      </c>
      <c r="G76" s="3">
        <f>COUNTIFS(Coding_800!$B$2:$B$801,B76,Coding_800!$C$2:$C$801,C76,Coding_800!$G$2:$G$801,"&gt;=0")</f>
        <v>10</v>
      </c>
      <c r="H76" s="3">
        <f>SUMIFS(Coding_800!$G$2:$G$801,Coding_800!$B$2:$B$801,B76,Coding_800!$C$2:$C$801,C76)</f>
        <v>7</v>
      </c>
      <c r="I76" s="3">
        <f t="shared" si="7"/>
        <v>70</v>
      </c>
      <c r="J76" t="str">
        <f t="shared" si="8"/>
        <v>Provisional - researcher check pending</v>
      </c>
    </row>
    <row r="77" spans="1:10">
      <c r="A77" t="s">
        <v>50</v>
      </c>
      <c r="B77" t="s">
        <v>58</v>
      </c>
      <c r="C77">
        <v>2025</v>
      </c>
      <c r="D77">
        <f>COUNTIFS(Coding_800!$B$2:$B$801,B77,Coding_800!$C$2:$C$801,C77,Coding_800!$M$2:$M$801,"Yes")</f>
        <v>0</v>
      </c>
      <c r="E77">
        <f>SUMIFS(Coding_800!$O$2:$O$801,Coding_800!$B$2:$B$801,B77,Coding_800!$C$2:$C$801,C77)</f>
        <v>6</v>
      </c>
      <c r="F77" s="3">
        <f t="shared" si="6"/>
        <v>60</v>
      </c>
      <c r="G77" s="3">
        <f>COUNTIFS(Coding_800!$B$2:$B$801,B77,Coding_800!$C$2:$C$801,C77,Coding_800!$G$2:$G$801,"&gt;=0")</f>
        <v>10</v>
      </c>
      <c r="H77" s="3">
        <f>SUMIFS(Coding_800!$G$2:$G$801,Coding_800!$B$2:$B$801,B77,Coding_800!$C$2:$C$801,C77)</f>
        <v>6</v>
      </c>
      <c r="I77" s="3">
        <f t="shared" si="7"/>
        <v>60</v>
      </c>
      <c r="J77" t="str">
        <f t="shared" si="8"/>
        <v>Provisional - researcher check pending</v>
      </c>
    </row>
    <row r="78" spans="1:10">
      <c r="A78" t="s">
        <v>50</v>
      </c>
      <c r="B78" t="s">
        <v>62</v>
      </c>
      <c r="C78">
        <v>2022</v>
      </c>
      <c r="D78">
        <f>COUNTIFS(Coding_800!$B$2:$B$801,B78,Coding_800!$C$2:$C$801,C78,Coding_800!$M$2:$M$801,"Yes")</f>
        <v>0</v>
      </c>
      <c r="E78">
        <f>SUMIFS(Coding_800!$O$2:$O$801,Coding_800!$B$2:$B$801,B78,Coding_800!$C$2:$C$801,C78)</f>
        <v>6</v>
      </c>
      <c r="F78" s="3">
        <f t="shared" si="6"/>
        <v>60</v>
      </c>
      <c r="G78" s="3">
        <f>COUNTIFS(Coding_800!$B$2:$B$801,B78,Coding_800!$C$2:$C$801,C78,Coding_800!$G$2:$G$801,"&gt;=0")</f>
        <v>10</v>
      </c>
      <c r="H78" s="3">
        <f>SUMIFS(Coding_800!$G$2:$G$801,Coding_800!$B$2:$B$801,B78,Coding_800!$C$2:$C$801,C78)</f>
        <v>6</v>
      </c>
      <c r="I78" s="3">
        <f t="shared" si="7"/>
        <v>60</v>
      </c>
      <c r="J78" t="str">
        <f t="shared" si="8"/>
        <v>Provisional - researcher check pending</v>
      </c>
    </row>
    <row r="79" spans="1:10">
      <c r="A79" t="s">
        <v>50</v>
      </c>
      <c r="B79" t="s">
        <v>62</v>
      </c>
      <c r="C79">
        <v>2023</v>
      </c>
      <c r="D79">
        <f>COUNTIFS(Coding_800!$B$2:$B$801,B79,Coding_800!$C$2:$C$801,C79,Coding_800!$M$2:$M$801,"Yes")</f>
        <v>0</v>
      </c>
      <c r="E79">
        <f>SUMIFS(Coding_800!$O$2:$O$801,Coding_800!$B$2:$B$801,B79,Coding_800!$C$2:$C$801,C79)</f>
        <v>4</v>
      </c>
      <c r="F79" s="3">
        <f t="shared" si="6"/>
        <v>40</v>
      </c>
      <c r="G79" s="3">
        <f>COUNTIFS(Coding_800!$B$2:$B$801,B79,Coding_800!$C$2:$C$801,C79,Coding_800!$G$2:$G$801,"&gt;=0")</f>
        <v>10</v>
      </c>
      <c r="H79" s="3">
        <f>SUMIFS(Coding_800!$G$2:$G$801,Coding_800!$B$2:$B$801,B79,Coding_800!$C$2:$C$801,C79)</f>
        <v>4</v>
      </c>
      <c r="I79" s="3">
        <f t="shared" si="7"/>
        <v>40</v>
      </c>
      <c r="J79" t="str">
        <f t="shared" si="8"/>
        <v>Provisional - researcher check pending</v>
      </c>
    </row>
    <row r="80" spans="1:10">
      <c r="A80" t="s">
        <v>50</v>
      </c>
      <c r="B80" t="s">
        <v>62</v>
      </c>
      <c r="C80">
        <v>2024</v>
      </c>
      <c r="D80">
        <f>COUNTIFS(Coding_800!$B$2:$B$801,B80,Coding_800!$C$2:$C$801,C80,Coding_800!$M$2:$M$801,"Yes")</f>
        <v>0</v>
      </c>
      <c r="E80">
        <f>SUMIFS(Coding_800!$O$2:$O$801,Coding_800!$B$2:$B$801,B80,Coding_800!$C$2:$C$801,C80)</f>
        <v>5</v>
      </c>
      <c r="F80" s="3">
        <f t="shared" si="6"/>
        <v>50</v>
      </c>
      <c r="G80" s="3">
        <f>COUNTIFS(Coding_800!$B$2:$B$801,B80,Coding_800!$C$2:$C$801,C80,Coding_800!$G$2:$G$801,"&gt;=0")</f>
        <v>10</v>
      </c>
      <c r="H80" s="3">
        <f>SUMIFS(Coding_800!$G$2:$G$801,Coding_800!$B$2:$B$801,B80,Coding_800!$C$2:$C$801,C80)</f>
        <v>5</v>
      </c>
      <c r="I80" s="3">
        <f t="shared" si="7"/>
        <v>50</v>
      </c>
      <c r="J80" t="str">
        <f t="shared" si="8"/>
        <v>Provisional - researcher check pending</v>
      </c>
    </row>
    <row r="81" spans="1:10">
      <c r="A81" t="s">
        <v>50</v>
      </c>
      <c r="B81" t="s">
        <v>62</v>
      </c>
      <c r="C81">
        <v>2025</v>
      </c>
      <c r="D81">
        <f>COUNTIFS(Coding_800!$B$2:$B$801,B81,Coding_800!$C$2:$C$801,C81,Coding_800!$M$2:$M$801,"Yes")</f>
        <v>0</v>
      </c>
      <c r="E81">
        <f>SUMIFS(Coding_800!$O$2:$O$801,Coding_800!$B$2:$B$801,B81,Coding_800!$C$2:$C$801,C81)</f>
        <v>6</v>
      </c>
      <c r="F81" s="3">
        <f t="shared" si="6"/>
        <v>60</v>
      </c>
      <c r="G81" s="3">
        <f>COUNTIFS(Coding_800!$B$2:$B$801,B81,Coding_800!$C$2:$C$801,C81,Coding_800!$G$2:$G$801,"&gt;=0")</f>
        <v>10</v>
      </c>
      <c r="H81" s="3">
        <f>SUMIFS(Coding_800!$G$2:$G$801,Coding_800!$B$2:$B$801,B81,Coding_800!$C$2:$C$801,C81)</f>
        <v>6</v>
      </c>
      <c r="I81" s="3">
        <f t="shared" si="7"/>
        <v>60</v>
      </c>
      <c r="J81" t="str">
        <f t="shared" si="8"/>
        <v>Provisional - researcher check pending</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9"/>
  <sheetViews>
    <sheetView tabSelected="1" topLeftCell="F1" zoomScale="75" workbookViewId="0">
      <selection activeCell="Q1" sqref="Q1:Q1048576"/>
    </sheetView>
  </sheetViews>
  <sheetFormatPr baseColWidth="10" defaultColWidth="8.83203125" defaultRowHeight="14"/>
  <cols>
    <col min="1" max="1" width="14" customWidth="1"/>
    <col min="2" max="2" width="14.5" customWidth="1"/>
    <col min="3" max="3" width="22" customWidth="1"/>
    <col min="4" max="4" width="16" customWidth="1"/>
    <col min="5" max="12" width="18" customWidth="1"/>
    <col min="13" max="14" width="14" customWidth="1"/>
    <col min="15" max="15" width="16" customWidth="1"/>
    <col min="16" max="16" width="14" customWidth="1"/>
  </cols>
  <sheetData>
    <row r="1" spans="1:16" ht="16">
      <c r="A1" s="2" t="s">
        <v>1</v>
      </c>
      <c r="B1" s="2" t="s">
        <v>159</v>
      </c>
      <c r="C1" s="2" t="s">
        <v>3</v>
      </c>
      <c r="D1" s="2" t="s">
        <v>1757</v>
      </c>
      <c r="E1" s="2" t="s">
        <v>1758</v>
      </c>
      <c r="F1" s="2" t="s">
        <v>1759</v>
      </c>
      <c r="G1" s="2" t="s">
        <v>1760</v>
      </c>
      <c r="H1" s="2" t="s">
        <v>1761</v>
      </c>
      <c r="I1" s="2" t="s">
        <v>1762</v>
      </c>
      <c r="J1" s="2" t="s">
        <v>1763</v>
      </c>
      <c r="K1" s="2" t="s">
        <v>1764</v>
      </c>
      <c r="L1" s="2" t="s">
        <v>1765</v>
      </c>
      <c r="M1" s="2" t="s">
        <v>1766</v>
      </c>
      <c r="N1" s="2" t="s">
        <v>1767</v>
      </c>
      <c r="O1" s="2" t="s">
        <v>1768</v>
      </c>
      <c r="P1" s="2" t="s">
        <v>1769</v>
      </c>
    </row>
    <row r="2" spans="1:16">
      <c r="A2" t="s">
        <v>5</v>
      </c>
      <c r="B2">
        <v>2022</v>
      </c>
      <c r="C2" t="s">
        <v>8</v>
      </c>
      <c r="D2" s="7">
        <v>91174.86</v>
      </c>
      <c r="E2" s="7">
        <v>3415632.29</v>
      </c>
      <c r="F2" s="7">
        <v>3078018.83</v>
      </c>
      <c r="G2" s="7">
        <v>3246825.56</v>
      </c>
      <c r="H2" s="7">
        <v>1052590.8799999999</v>
      </c>
      <c r="I2" s="7">
        <v>1006696.22</v>
      </c>
      <c r="J2" s="7">
        <v>1029643.55</v>
      </c>
      <c r="K2" s="7">
        <v>1881939.53</v>
      </c>
      <c r="L2" s="7">
        <v>3391622.87</v>
      </c>
      <c r="M2" s="10">
        <v>2.8080999999999998E-2</v>
      </c>
      <c r="N2" s="10">
        <v>8.8550000000000004E-2</v>
      </c>
      <c r="O2" s="9">
        <v>15.043873</v>
      </c>
      <c r="P2" s="10">
        <v>0.55097799999999997</v>
      </c>
    </row>
    <row r="3" spans="1:16">
      <c r="A3" t="s">
        <v>5</v>
      </c>
      <c r="B3">
        <v>2023</v>
      </c>
      <c r="C3" t="s">
        <v>8</v>
      </c>
      <c r="D3" s="7">
        <v>112023.88</v>
      </c>
      <c r="E3" s="7">
        <v>3460461.9</v>
      </c>
      <c r="F3" s="7">
        <v>3415632.29</v>
      </c>
      <c r="G3" s="7">
        <v>3438047.1</v>
      </c>
      <c r="H3" s="7">
        <v>1121197.8799999999</v>
      </c>
      <c r="I3" s="7">
        <v>1052590.8799999999</v>
      </c>
      <c r="J3" s="7">
        <v>1086894.3799999999</v>
      </c>
      <c r="K3" s="7">
        <v>1835486.49</v>
      </c>
      <c r="L3" s="7">
        <v>3185256.08</v>
      </c>
      <c r="M3" s="10">
        <v>3.2584000000000002E-2</v>
      </c>
      <c r="N3" s="10">
        <v>0.10306800000000001</v>
      </c>
      <c r="O3" s="9">
        <v>15.056913</v>
      </c>
      <c r="P3" s="10">
        <v>0.53041700000000003</v>
      </c>
    </row>
    <row r="4" spans="1:16">
      <c r="A4" t="s">
        <v>5</v>
      </c>
      <c r="B4">
        <v>2024</v>
      </c>
      <c r="C4" t="s">
        <v>8</v>
      </c>
      <c r="D4" s="7">
        <v>90072.08</v>
      </c>
      <c r="E4" s="7">
        <v>3438784.28</v>
      </c>
      <c r="F4" s="7">
        <v>3460461.9</v>
      </c>
      <c r="G4" s="7">
        <v>3449623.09</v>
      </c>
      <c r="H4" s="7">
        <v>1149652.17</v>
      </c>
      <c r="I4" s="7">
        <v>1121197.8799999999</v>
      </c>
      <c r="J4" s="7">
        <v>1135425.03</v>
      </c>
      <c r="K4" s="7">
        <v>1781907.19</v>
      </c>
      <c r="L4" s="7">
        <v>3138378.01</v>
      </c>
      <c r="M4" s="10">
        <v>2.6110999999999999E-2</v>
      </c>
      <c r="N4" s="10">
        <v>7.9328999999999997E-2</v>
      </c>
      <c r="O4" s="9">
        <v>15.050629000000001</v>
      </c>
      <c r="P4" s="10">
        <v>0.51817899999999995</v>
      </c>
    </row>
    <row r="5" spans="1:16">
      <c r="A5" t="s">
        <v>5</v>
      </c>
      <c r="B5">
        <v>2025</v>
      </c>
      <c r="C5" t="s">
        <v>8</v>
      </c>
      <c r="D5" s="7">
        <v>90166.37</v>
      </c>
      <c r="E5" s="7">
        <v>3269659.98</v>
      </c>
      <c r="F5" s="7">
        <v>3438784.28</v>
      </c>
      <c r="G5" s="7">
        <v>3354222.13</v>
      </c>
      <c r="H5" s="7">
        <v>1127422.1000000001</v>
      </c>
      <c r="I5" s="7">
        <v>1149652.17</v>
      </c>
      <c r="J5" s="7">
        <v>1138537.1399999999</v>
      </c>
      <c r="K5" s="7">
        <v>1617176.37</v>
      </c>
      <c r="L5" s="7">
        <v>2707981.66</v>
      </c>
      <c r="M5" s="10">
        <v>2.6880999999999999E-2</v>
      </c>
      <c r="N5" s="10">
        <v>7.9195000000000002E-2</v>
      </c>
      <c r="O5" s="9">
        <v>15.000197</v>
      </c>
      <c r="P5" s="10">
        <v>0.49460100000000001</v>
      </c>
    </row>
    <row r="6" spans="1:16">
      <c r="A6" t="s">
        <v>10</v>
      </c>
      <c r="B6">
        <v>2022</v>
      </c>
      <c r="C6" t="s">
        <v>8</v>
      </c>
      <c r="D6" s="7">
        <v>70901.34</v>
      </c>
      <c r="E6" s="7">
        <v>869864.32</v>
      </c>
      <c r="F6" s="7">
        <v>783535.67</v>
      </c>
      <c r="G6" s="7">
        <v>826700</v>
      </c>
      <c r="H6" s="7">
        <v>467120.61</v>
      </c>
      <c r="I6" s="7">
        <v>415349.75</v>
      </c>
      <c r="J6" s="7">
        <v>441235.18</v>
      </c>
      <c r="K6" s="7">
        <v>402743.72</v>
      </c>
      <c r="L6" s="7">
        <v>339901.86</v>
      </c>
      <c r="M6" s="10">
        <v>8.5764000000000007E-2</v>
      </c>
      <c r="N6" s="10">
        <v>0.160688</v>
      </c>
      <c r="O6" s="9">
        <v>13.676093</v>
      </c>
      <c r="P6" s="10">
        <v>0.46299600000000002</v>
      </c>
    </row>
    <row r="7" spans="1:16">
      <c r="A7" t="s">
        <v>10</v>
      </c>
      <c r="B7">
        <v>2023</v>
      </c>
      <c r="C7" t="s">
        <v>8</v>
      </c>
      <c r="D7" s="7">
        <v>76706.39</v>
      </c>
      <c r="E7" s="7">
        <v>902820.93</v>
      </c>
      <c r="F7" s="7">
        <v>869864.32</v>
      </c>
      <c r="G7" s="7">
        <v>886342.63</v>
      </c>
      <c r="H7" s="7">
        <v>499326.5</v>
      </c>
      <c r="I7" s="7">
        <v>467120.61</v>
      </c>
      <c r="J7" s="7">
        <v>483223.56</v>
      </c>
      <c r="K7" s="7">
        <v>403378.12</v>
      </c>
      <c r="L7" s="7">
        <v>313590.65000000002</v>
      </c>
      <c r="M7" s="10">
        <v>8.6542999999999995E-2</v>
      </c>
      <c r="N7" s="10">
        <v>0.15873899999999999</v>
      </c>
      <c r="O7" s="9">
        <v>13.713279999999999</v>
      </c>
      <c r="P7" s="10">
        <v>0.446797</v>
      </c>
    </row>
    <row r="8" spans="1:16">
      <c r="A8" t="s">
        <v>10</v>
      </c>
      <c r="B8">
        <v>2024</v>
      </c>
      <c r="C8" t="s">
        <v>8</v>
      </c>
      <c r="D8" s="7">
        <v>78824.240000000005</v>
      </c>
      <c r="E8" s="7">
        <v>965300.75</v>
      </c>
      <c r="F8" s="7">
        <v>902820.93</v>
      </c>
      <c r="G8" s="7">
        <v>934060.84</v>
      </c>
      <c r="H8" s="7">
        <v>535594.81999999995</v>
      </c>
      <c r="I8" s="7">
        <v>499326.5</v>
      </c>
      <c r="J8" s="7">
        <v>517460.66</v>
      </c>
      <c r="K8" s="7">
        <v>429425.05</v>
      </c>
      <c r="L8" s="7">
        <v>326830.15999999997</v>
      </c>
      <c r="M8" s="10">
        <v>8.4389000000000006E-2</v>
      </c>
      <c r="N8" s="10">
        <v>0.15232899999999999</v>
      </c>
      <c r="O8" s="9">
        <v>13.780195000000001</v>
      </c>
      <c r="P8" s="10">
        <v>0.44486100000000001</v>
      </c>
    </row>
    <row r="9" spans="1:16">
      <c r="A9" t="s">
        <v>10</v>
      </c>
      <c r="B9">
        <v>2025</v>
      </c>
      <c r="C9" t="s">
        <v>8</v>
      </c>
      <c r="D9" s="7">
        <v>60273.15</v>
      </c>
      <c r="E9" s="7">
        <v>933936.67</v>
      </c>
      <c r="F9" s="7">
        <v>965300.75</v>
      </c>
      <c r="G9" s="7">
        <v>949618.71</v>
      </c>
      <c r="H9" s="7">
        <v>519305.02</v>
      </c>
      <c r="I9" s="7">
        <v>535594.81999999995</v>
      </c>
      <c r="J9" s="7">
        <v>527449.92000000004</v>
      </c>
      <c r="K9" s="7">
        <v>414368.93</v>
      </c>
      <c r="L9" s="7">
        <v>292632.65000000002</v>
      </c>
      <c r="M9" s="10">
        <v>6.3471E-2</v>
      </c>
      <c r="N9" s="10">
        <v>0.114273</v>
      </c>
      <c r="O9" s="9">
        <v>13.747164</v>
      </c>
      <c r="P9" s="10">
        <v>0.44368000000000002</v>
      </c>
    </row>
    <row r="10" spans="1:16">
      <c r="A10" t="s">
        <v>12</v>
      </c>
      <c r="B10">
        <v>2022</v>
      </c>
      <c r="C10" t="s">
        <v>8</v>
      </c>
      <c r="D10" s="9">
        <v>891.45</v>
      </c>
      <c r="E10" s="7">
        <v>288810.09000000003</v>
      </c>
      <c r="F10" s="7">
        <v>270379.12</v>
      </c>
      <c r="G10" s="7">
        <v>279594.61</v>
      </c>
      <c r="H10" s="7">
        <v>104729.96</v>
      </c>
      <c r="I10" s="7">
        <v>108334.28</v>
      </c>
      <c r="J10" s="7">
        <v>106532.12</v>
      </c>
      <c r="K10" s="7">
        <v>173709.87</v>
      </c>
      <c r="L10" s="7">
        <v>126416.06</v>
      </c>
      <c r="M10" s="10">
        <v>3.1879999999999999E-3</v>
      </c>
      <c r="N10" s="10">
        <v>8.3680000000000004E-3</v>
      </c>
      <c r="O10" s="9">
        <v>12.573525</v>
      </c>
      <c r="P10" s="10">
        <v>0.60146699999999997</v>
      </c>
    </row>
    <row r="11" spans="1:16">
      <c r="A11" t="s">
        <v>12</v>
      </c>
      <c r="B11">
        <v>2023</v>
      </c>
      <c r="C11" t="s">
        <v>8</v>
      </c>
      <c r="D11" s="7">
        <v>3694.22</v>
      </c>
      <c r="E11" s="7">
        <v>285889.5</v>
      </c>
      <c r="F11" s="7">
        <v>288810.09000000003</v>
      </c>
      <c r="G11" s="7">
        <v>287349.8</v>
      </c>
      <c r="H11" s="7">
        <v>106195.04</v>
      </c>
      <c r="I11" s="7">
        <v>104729.96</v>
      </c>
      <c r="J11" s="7">
        <v>105462.5</v>
      </c>
      <c r="K11" s="7">
        <v>167150.01</v>
      </c>
      <c r="L11" s="7">
        <v>93093.57</v>
      </c>
      <c r="M11" s="10">
        <v>1.2855999999999999E-2</v>
      </c>
      <c r="N11" s="10">
        <v>3.5028999999999998E-2</v>
      </c>
      <c r="O11" s="9">
        <v>12.563361</v>
      </c>
      <c r="P11" s="10">
        <v>0.58466600000000002</v>
      </c>
    </row>
    <row r="12" spans="1:16">
      <c r="A12" t="s">
        <v>12</v>
      </c>
      <c r="B12">
        <v>2024</v>
      </c>
      <c r="C12" t="s">
        <v>8</v>
      </c>
      <c r="D12" s="7">
        <v>4062.38</v>
      </c>
      <c r="E12" s="7">
        <v>288136.05</v>
      </c>
      <c r="F12" s="7">
        <v>285889.5</v>
      </c>
      <c r="G12" s="7">
        <v>287012.78000000003</v>
      </c>
      <c r="H12" s="7">
        <v>107557.6</v>
      </c>
      <c r="I12" s="7">
        <v>106195.04</v>
      </c>
      <c r="J12" s="7">
        <v>106876.32</v>
      </c>
      <c r="K12" s="7">
        <v>168994.38</v>
      </c>
      <c r="L12" s="7">
        <v>92798.76</v>
      </c>
      <c r="M12" s="10">
        <v>1.4154E-2</v>
      </c>
      <c r="N12" s="10">
        <v>3.8010000000000002E-2</v>
      </c>
      <c r="O12" s="9">
        <v>12.571187999999999</v>
      </c>
      <c r="P12" s="10">
        <v>0.58650899999999995</v>
      </c>
    </row>
    <row r="13" spans="1:16">
      <c r="A13" t="s">
        <v>12</v>
      </c>
      <c r="B13">
        <v>2025</v>
      </c>
      <c r="C13" t="s">
        <v>8</v>
      </c>
      <c r="D13" s="7">
        <v>6399</v>
      </c>
      <c r="E13" s="7">
        <v>264259.09000000003</v>
      </c>
      <c r="F13" s="7">
        <v>288136.05</v>
      </c>
      <c r="G13" s="7">
        <v>276197.57</v>
      </c>
      <c r="H13" s="7">
        <v>104406.32</v>
      </c>
      <c r="I13" s="7">
        <v>107557.6</v>
      </c>
      <c r="J13" s="7">
        <v>105981.96</v>
      </c>
      <c r="K13" s="7">
        <v>147823.45000000001</v>
      </c>
      <c r="L13" s="7">
        <v>87493.29</v>
      </c>
      <c r="M13" s="10">
        <v>2.3168000000000001E-2</v>
      </c>
      <c r="N13" s="10">
        <v>6.0378000000000001E-2</v>
      </c>
      <c r="O13" s="9">
        <v>12.484685000000001</v>
      </c>
      <c r="P13" s="10">
        <v>0.559388</v>
      </c>
    </row>
    <row r="14" spans="1:16">
      <c r="A14" t="s">
        <v>14</v>
      </c>
      <c r="B14">
        <v>2022</v>
      </c>
      <c r="C14" t="s">
        <v>8</v>
      </c>
      <c r="D14" s="12">
        <v>11418</v>
      </c>
      <c r="E14" s="12">
        <v>418172</v>
      </c>
      <c r="F14" s="12">
        <v>362674</v>
      </c>
      <c r="G14" s="7">
        <v>390423</v>
      </c>
      <c r="H14" s="12">
        <v>110787</v>
      </c>
      <c r="I14" s="12">
        <v>96596</v>
      </c>
      <c r="J14" s="7">
        <v>103691.5</v>
      </c>
      <c r="K14" s="12">
        <v>282370</v>
      </c>
      <c r="L14" s="12">
        <v>95076</v>
      </c>
      <c r="M14" s="10">
        <v>2.9245E-2</v>
      </c>
      <c r="N14" s="10">
        <v>0.110115</v>
      </c>
      <c r="O14" s="9">
        <v>12.943648</v>
      </c>
      <c r="P14" s="10">
        <v>0.67524799999999996</v>
      </c>
    </row>
    <row r="15" spans="1:16">
      <c r="A15" t="s">
        <v>14</v>
      </c>
      <c r="B15">
        <v>2023</v>
      </c>
      <c r="C15" t="s">
        <v>8</v>
      </c>
      <c r="D15" s="12">
        <v>14858</v>
      </c>
      <c r="E15" s="12">
        <v>459514</v>
      </c>
      <c r="F15" s="12">
        <v>418172</v>
      </c>
      <c r="G15" s="7">
        <v>438843</v>
      </c>
      <c r="H15" s="12">
        <v>116585</v>
      </c>
      <c r="I15" s="12">
        <v>110787</v>
      </c>
      <c r="J15" s="7">
        <v>113686</v>
      </c>
      <c r="K15" s="12">
        <v>315410</v>
      </c>
      <c r="L15" s="12">
        <v>116951</v>
      </c>
      <c r="M15" s="10">
        <v>3.3856999999999998E-2</v>
      </c>
      <c r="N15" s="10">
        <v>0.130693</v>
      </c>
      <c r="O15" s="9">
        <v>13.037925</v>
      </c>
      <c r="P15" s="10">
        <v>0.68639899999999998</v>
      </c>
    </row>
    <row r="16" spans="1:16">
      <c r="A16" t="s">
        <v>14</v>
      </c>
      <c r="B16">
        <v>2024</v>
      </c>
      <c r="C16" t="s">
        <v>8</v>
      </c>
      <c r="D16" s="12">
        <v>18170</v>
      </c>
      <c r="E16" s="12">
        <v>496202</v>
      </c>
      <c r="F16" s="12">
        <v>459514</v>
      </c>
      <c r="G16" s="7">
        <v>477858</v>
      </c>
      <c r="H16" s="12">
        <v>124158</v>
      </c>
      <c r="I16" s="12">
        <v>116585</v>
      </c>
      <c r="J16" s="7">
        <v>120371.5</v>
      </c>
      <c r="K16" s="12">
        <v>342363</v>
      </c>
      <c r="L16" s="12">
        <v>124585</v>
      </c>
      <c r="M16" s="10">
        <v>3.8024000000000002E-2</v>
      </c>
      <c r="N16" s="10">
        <v>0.150949</v>
      </c>
      <c r="O16" s="9">
        <v>13.114737999999999</v>
      </c>
      <c r="P16" s="10">
        <v>0.689967</v>
      </c>
    </row>
    <row r="17" spans="1:16">
      <c r="A17" t="s">
        <v>14</v>
      </c>
      <c r="B17">
        <v>2025</v>
      </c>
      <c r="C17" t="s">
        <v>8</v>
      </c>
      <c r="D17" s="12">
        <v>86562</v>
      </c>
      <c r="E17" s="12">
        <v>773810</v>
      </c>
      <c r="F17" s="12">
        <v>704271</v>
      </c>
      <c r="G17" s="7">
        <v>739040.5</v>
      </c>
      <c r="H17" s="12">
        <v>335673</v>
      </c>
      <c r="I17" s="12">
        <v>331995</v>
      </c>
      <c r="J17" s="7">
        <v>333834</v>
      </c>
      <c r="K17" s="12">
        <v>407911</v>
      </c>
      <c r="L17" s="12">
        <v>135596</v>
      </c>
      <c r="M17" s="10">
        <v>0.117128</v>
      </c>
      <c r="N17" s="10">
        <v>0.259297</v>
      </c>
      <c r="O17" s="9">
        <v>13.559082</v>
      </c>
      <c r="P17" s="10">
        <v>0.527146</v>
      </c>
    </row>
    <row r="18" spans="1:16">
      <c r="A18" t="s">
        <v>16</v>
      </c>
      <c r="B18">
        <v>2022</v>
      </c>
      <c r="C18" t="s">
        <v>18</v>
      </c>
      <c r="D18" s="7">
        <v>35769.49</v>
      </c>
      <c r="E18" s="7">
        <v>4246368.88</v>
      </c>
      <c r="F18" s="7">
        <v>4103398.52</v>
      </c>
      <c r="G18" s="7">
        <v>4174883.7</v>
      </c>
      <c r="H18" s="7">
        <v>503269.88</v>
      </c>
      <c r="I18" s="7">
        <v>476713.71</v>
      </c>
      <c r="J18" s="7">
        <v>489991.8</v>
      </c>
      <c r="K18" s="7">
        <v>3679289.45</v>
      </c>
      <c r="L18" s="7">
        <v>271302.26</v>
      </c>
      <c r="M18" s="10">
        <v>8.5679999999999992E-3</v>
      </c>
      <c r="N18" s="10">
        <v>7.2999999999999995E-2</v>
      </c>
      <c r="O18" s="9">
        <v>15.261575000000001</v>
      </c>
      <c r="P18" s="10">
        <v>0.86645499999999998</v>
      </c>
    </row>
    <row r="19" spans="1:16">
      <c r="A19" t="s">
        <v>16</v>
      </c>
      <c r="B19">
        <v>2023</v>
      </c>
      <c r="C19" t="s">
        <v>18</v>
      </c>
      <c r="D19" s="7">
        <v>42405.04</v>
      </c>
      <c r="E19" s="7">
        <v>4283556.38</v>
      </c>
      <c r="F19" s="7">
        <v>4246368.88</v>
      </c>
      <c r="G19" s="7">
        <v>4264962.63</v>
      </c>
      <c r="H19" s="7">
        <v>532284.77</v>
      </c>
      <c r="I19" s="7">
        <v>503269.88</v>
      </c>
      <c r="J19" s="7">
        <v>517777.33</v>
      </c>
      <c r="K19" s="7">
        <v>3686721.07</v>
      </c>
      <c r="L19" s="7">
        <v>306529.43</v>
      </c>
      <c r="M19" s="10">
        <v>9.9430000000000004E-3</v>
      </c>
      <c r="N19" s="10">
        <v>8.1897999999999999E-2</v>
      </c>
      <c r="O19" s="9">
        <v>15.270294</v>
      </c>
      <c r="P19" s="10">
        <v>0.86066799999999999</v>
      </c>
    </row>
    <row r="20" spans="1:16">
      <c r="A20" t="s">
        <v>16</v>
      </c>
      <c r="B20">
        <v>2024</v>
      </c>
      <c r="C20" t="s">
        <v>18</v>
      </c>
      <c r="D20" s="7">
        <v>49603.54</v>
      </c>
      <c r="E20" s="7">
        <v>4340954.3600000003</v>
      </c>
      <c r="F20" s="7">
        <v>4283556.38</v>
      </c>
      <c r="G20" s="7">
        <v>4312255.37</v>
      </c>
      <c r="H20" s="7">
        <v>568725.55000000005</v>
      </c>
      <c r="I20" s="7">
        <v>532284.77</v>
      </c>
      <c r="J20" s="7">
        <v>550505.16</v>
      </c>
      <c r="K20" s="7">
        <v>3695292.13</v>
      </c>
      <c r="L20" s="7">
        <v>259002.41</v>
      </c>
      <c r="M20" s="10">
        <v>1.1502999999999999E-2</v>
      </c>
      <c r="N20" s="10">
        <v>9.0105000000000005E-2</v>
      </c>
      <c r="O20" s="9">
        <v>15.283605</v>
      </c>
      <c r="P20" s="10">
        <v>0.85126299999999999</v>
      </c>
    </row>
    <row r="21" spans="1:16">
      <c r="A21" t="s">
        <v>16</v>
      </c>
      <c r="B21">
        <v>2025</v>
      </c>
      <c r="C21" t="s">
        <v>18</v>
      </c>
      <c r="D21" s="7">
        <v>49564.77</v>
      </c>
      <c r="E21" s="7">
        <v>4558618.07</v>
      </c>
      <c r="F21" s="7">
        <v>4340954.3600000003</v>
      </c>
      <c r="G21" s="7">
        <v>4449786.22</v>
      </c>
      <c r="H21" s="7">
        <v>581146.31000000006</v>
      </c>
      <c r="I21" s="7">
        <v>568725.55000000005</v>
      </c>
      <c r="J21" s="7">
        <v>574935.93000000005</v>
      </c>
      <c r="K21" s="7">
        <v>3884849.99</v>
      </c>
      <c r="L21" s="7">
        <v>251100.47</v>
      </c>
      <c r="M21" s="10">
        <v>1.1139E-2</v>
      </c>
      <c r="N21" s="10">
        <v>8.6208999999999994E-2</v>
      </c>
      <c r="O21" s="9">
        <v>15.33253</v>
      </c>
      <c r="P21" s="10">
        <v>0.85219900000000004</v>
      </c>
    </row>
    <row r="22" spans="1:16">
      <c r="A22" t="s">
        <v>19</v>
      </c>
      <c r="B22">
        <v>2022</v>
      </c>
      <c r="C22" t="s">
        <v>21</v>
      </c>
      <c r="D22" s="7">
        <v>37546.01</v>
      </c>
      <c r="E22" s="7">
        <v>3454452.34</v>
      </c>
      <c r="F22" s="7">
        <v>3314564.89</v>
      </c>
      <c r="G22" s="7">
        <v>3384508.62</v>
      </c>
      <c r="H22" s="7">
        <v>461231.65</v>
      </c>
      <c r="I22" s="7">
        <v>441006.18</v>
      </c>
      <c r="J22" s="7">
        <v>451118.92</v>
      </c>
      <c r="K22" s="7">
        <v>2987840.45</v>
      </c>
      <c r="L22" s="7">
        <v>177547.04</v>
      </c>
      <c r="M22" s="10">
        <v>1.1093E-2</v>
      </c>
      <c r="N22" s="10">
        <v>8.3228999999999997E-2</v>
      </c>
      <c r="O22" s="9">
        <v>15.055173999999999</v>
      </c>
      <c r="P22" s="10">
        <v>0.86492400000000003</v>
      </c>
    </row>
    <row r="23" spans="1:16">
      <c r="A23" t="s">
        <v>19</v>
      </c>
      <c r="B23">
        <v>2023</v>
      </c>
      <c r="C23" t="s">
        <v>21</v>
      </c>
      <c r="D23" s="7">
        <v>43521.33</v>
      </c>
      <c r="E23" s="7">
        <v>3438721.93</v>
      </c>
      <c r="F23" s="7">
        <v>3454452.34</v>
      </c>
      <c r="G23" s="7">
        <v>3446587.14</v>
      </c>
      <c r="H23" s="7">
        <v>478082.22</v>
      </c>
      <c r="I23" s="7">
        <v>461231.65</v>
      </c>
      <c r="J23" s="7">
        <v>469656.94</v>
      </c>
      <c r="K23" s="7">
        <v>2954988.62</v>
      </c>
      <c r="L23" s="7">
        <v>210556.79</v>
      </c>
      <c r="M23" s="10">
        <v>1.2626999999999999E-2</v>
      </c>
      <c r="N23" s="10">
        <v>9.2665999999999998E-2</v>
      </c>
      <c r="O23" s="9">
        <v>15.050610000000001</v>
      </c>
      <c r="P23" s="10">
        <v>0.85932799999999998</v>
      </c>
    </row>
    <row r="24" spans="1:16">
      <c r="A24" t="s">
        <v>19</v>
      </c>
      <c r="B24">
        <v>2024</v>
      </c>
      <c r="C24" t="s">
        <v>21</v>
      </c>
      <c r="D24" s="7">
        <v>43943.01</v>
      </c>
      <c r="E24" s="7">
        <v>3486539.22</v>
      </c>
      <c r="F24" s="7">
        <v>3438721.93</v>
      </c>
      <c r="G24" s="7">
        <v>3462630.58</v>
      </c>
      <c r="H24" s="7">
        <v>488635.6</v>
      </c>
      <c r="I24" s="7">
        <v>478082.22</v>
      </c>
      <c r="J24" s="7">
        <v>483358.91</v>
      </c>
      <c r="K24" s="7">
        <v>2991702.15</v>
      </c>
      <c r="L24" s="7">
        <v>215706.27</v>
      </c>
      <c r="M24" s="10">
        <v>1.2690999999999999E-2</v>
      </c>
      <c r="N24" s="10">
        <v>9.0912000000000007E-2</v>
      </c>
      <c r="O24" s="9">
        <v>15.06442</v>
      </c>
      <c r="P24" s="10">
        <v>0.85807199999999995</v>
      </c>
    </row>
    <row r="25" spans="1:16">
      <c r="A25" t="s">
        <v>19</v>
      </c>
      <c r="B25">
        <v>2025</v>
      </c>
      <c r="C25" t="s">
        <v>21</v>
      </c>
      <c r="D25" s="7">
        <v>47487.98</v>
      </c>
      <c r="E25" s="7">
        <v>3650742.32</v>
      </c>
      <c r="F25" s="7">
        <v>3486539.22</v>
      </c>
      <c r="G25" s="7">
        <v>3568640.77</v>
      </c>
      <c r="H25" s="7">
        <v>495313.21</v>
      </c>
      <c r="I25" s="7">
        <v>488635.6</v>
      </c>
      <c r="J25" s="7">
        <v>491974.41</v>
      </c>
      <c r="K25" s="7">
        <v>3149033.57</v>
      </c>
      <c r="L25" s="7">
        <v>203671.82</v>
      </c>
      <c r="M25" s="10">
        <v>1.3306999999999999E-2</v>
      </c>
      <c r="N25" s="10">
        <v>9.6525E-2</v>
      </c>
      <c r="O25" s="9">
        <v>15.110441</v>
      </c>
      <c r="P25" s="10">
        <v>0.86257300000000003</v>
      </c>
    </row>
    <row r="26" spans="1:16">
      <c r="A26" t="s">
        <v>22</v>
      </c>
      <c r="B26">
        <v>2022</v>
      </c>
      <c r="C26" t="s">
        <v>24</v>
      </c>
      <c r="D26" s="7">
        <v>21382.35</v>
      </c>
      <c r="E26" s="7">
        <v>906489.79</v>
      </c>
      <c r="F26" s="7">
        <v>861101.03</v>
      </c>
      <c r="G26" s="7">
        <v>883795.41</v>
      </c>
      <c r="H26" s="7">
        <v>374254.96</v>
      </c>
      <c r="I26" s="7">
        <v>365690.73</v>
      </c>
      <c r="J26" s="7">
        <v>369972.85</v>
      </c>
      <c r="K26" s="7">
        <v>454065.36</v>
      </c>
      <c r="L26" s="7">
        <v>582292.21</v>
      </c>
      <c r="M26" s="10">
        <v>2.4194E-2</v>
      </c>
      <c r="N26" s="10">
        <v>5.7793999999999998E-2</v>
      </c>
      <c r="O26" s="9">
        <v>13.717335</v>
      </c>
      <c r="P26" s="10">
        <v>0.50090500000000004</v>
      </c>
    </row>
    <row r="27" spans="1:16">
      <c r="A27" t="s">
        <v>22</v>
      </c>
      <c r="B27">
        <v>2023</v>
      </c>
      <c r="C27" t="s">
        <v>24</v>
      </c>
      <c r="D27" s="7">
        <v>25914.98</v>
      </c>
      <c r="E27" s="7">
        <v>893600.63</v>
      </c>
      <c r="F27" s="7">
        <v>906489.79</v>
      </c>
      <c r="G27" s="7">
        <v>900045.21</v>
      </c>
      <c r="H27" s="7">
        <v>363961.76</v>
      </c>
      <c r="I27" s="7">
        <v>374254.96</v>
      </c>
      <c r="J27" s="7">
        <v>369108.36</v>
      </c>
      <c r="K27" s="7">
        <v>452003.99</v>
      </c>
      <c r="L27" s="7">
        <v>528531.42000000004</v>
      </c>
      <c r="M27" s="10">
        <v>2.8792999999999999E-2</v>
      </c>
      <c r="N27" s="10">
        <v>7.0209999999999995E-2</v>
      </c>
      <c r="O27" s="9">
        <v>13.703014</v>
      </c>
      <c r="P27" s="10">
        <v>0.50582300000000002</v>
      </c>
    </row>
    <row r="28" spans="1:16">
      <c r="A28" t="s">
        <v>22</v>
      </c>
      <c r="B28">
        <v>2024</v>
      </c>
      <c r="C28" t="s">
        <v>24</v>
      </c>
      <c r="D28" s="7">
        <v>6341.64</v>
      </c>
      <c r="E28" s="7">
        <v>861502.19</v>
      </c>
      <c r="F28" s="7">
        <v>893600.63</v>
      </c>
      <c r="G28" s="7">
        <v>877551.41</v>
      </c>
      <c r="H28" s="7">
        <v>352887.33</v>
      </c>
      <c r="I28" s="7">
        <v>363961.76</v>
      </c>
      <c r="J28" s="7">
        <v>358424.55</v>
      </c>
      <c r="K28" s="7">
        <v>441721.96</v>
      </c>
      <c r="L28" s="7">
        <v>526673.86</v>
      </c>
      <c r="M28" s="10">
        <v>7.2269999999999999E-3</v>
      </c>
      <c r="N28" s="10">
        <v>1.7693E-2</v>
      </c>
      <c r="O28" s="9">
        <v>13.666433</v>
      </c>
      <c r="P28" s="10">
        <v>0.51273500000000005</v>
      </c>
    </row>
    <row r="29" spans="1:16">
      <c r="A29" t="s">
        <v>22</v>
      </c>
      <c r="B29">
        <v>2025</v>
      </c>
      <c r="C29" t="s">
        <v>24</v>
      </c>
      <c r="D29" s="7">
        <v>14075.02</v>
      </c>
      <c r="E29" s="7">
        <v>821591.06</v>
      </c>
      <c r="F29" s="7">
        <v>861502.19</v>
      </c>
      <c r="G29" s="7">
        <v>841546.63</v>
      </c>
      <c r="H29" s="7">
        <v>337702.33</v>
      </c>
      <c r="I29" s="7">
        <v>352887.33</v>
      </c>
      <c r="J29" s="7">
        <v>345294.83</v>
      </c>
      <c r="K29" s="7">
        <v>424748.78</v>
      </c>
      <c r="L29" s="7">
        <v>516954.85</v>
      </c>
      <c r="M29" s="10">
        <v>1.6725E-2</v>
      </c>
      <c r="N29" s="10">
        <v>4.0762E-2</v>
      </c>
      <c r="O29" s="9">
        <v>13.618997999999999</v>
      </c>
      <c r="P29" s="10">
        <v>0.51698299999999997</v>
      </c>
    </row>
    <row r="30" spans="1:16">
      <c r="A30" t="s">
        <v>25</v>
      </c>
      <c r="B30">
        <v>2022</v>
      </c>
      <c r="C30" t="s">
        <v>27</v>
      </c>
      <c r="D30" s="7">
        <v>13271.71</v>
      </c>
      <c r="E30" s="7">
        <v>924061.49</v>
      </c>
      <c r="F30" s="7">
        <v>931892.56</v>
      </c>
      <c r="G30" s="7">
        <v>927977.03</v>
      </c>
      <c r="H30" s="7">
        <v>100724.2</v>
      </c>
      <c r="I30" s="7">
        <v>104134.13</v>
      </c>
      <c r="J30" s="7">
        <v>102429.17</v>
      </c>
      <c r="K30" s="7">
        <v>633760.18999999994</v>
      </c>
      <c r="L30" s="7">
        <v>852605.22</v>
      </c>
      <c r="M30" s="10">
        <v>1.4302E-2</v>
      </c>
      <c r="N30" s="10">
        <v>0.12956999999999999</v>
      </c>
      <c r="O30" s="9">
        <v>13.736534000000001</v>
      </c>
      <c r="P30" s="10">
        <v>0.68584199999999995</v>
      </c>
    </row>
    <row r="31" spans="1:16">
      <c r="A31" t="s">
        <v>25</v>
      </c>
      <c r="B31">
        <v>2023</v>
      </c>
      <c r="C31" t="s">
        <v>27</v>
      </c>
      <c r="D31" s="7">
        <v>18482.13</v>
      </c>
      <c r="E31" s="7">
        <v>926491.19</v>
      </c>
      <c r="F31" s="7">
        <v>924061.49</v>
      </c>
      <c r="G31" s="7">
        <v>925276.34</v>
      </c>
      <c r="H31" s="7">
        <v>110995.45</v>
      </c>
      <c r="I31" s="7">
        <v>100724.2</v>
      </c>
      <c r="J31" s="7">
        <v>105859.83</v>
      </c>
      <c r="K31" s="7">
        <v>624896.07999999996</v>
      </c>
      <c r="L31" s="7">
        <v>920841.35</v>
      </c>
      <c r="M31" s="10">
        <v>1.9975E-2</v>
      </c>
      <c r="N31" s="10">
        <v>0.174591</v>
      </c>
      <c r="O31" s="9">
        <v>13.73916</v>
      </c>
      <c r="P31" s="10">
        <v>0.67447599999999996</v>
      </c>
    </row>
    <row r="32" spans="1:16">
      <c r="A32" t="s">
        <v>25</v>
      </c>
      <c r="B32">
        <v>2024</v>
      </c>
      <c r="C32" t="s">
        <v>27</v>
      </c>
      <c r="D32" s="7">
        <v>25345.84</v>
      </c>
      <c r="E32" s="7">
        <v>944120.29</v>
      </c>
      <c r="F32" s="7">
        <v>926491.19</v>
      </c>
      <c r="G32" s="7">
        <v>935305.74</v>
      </c>
      <c r="H32" s="7">
        <v>126860.24</v>
      </c>
      <c r="I32" s="7">
        <v>110995.45</v>
      </c>
      <c r="J32" s="7">
        <v>118927.85</v>
      </c>
      <c r="K32" s="7">
        <v>624509.56999999995</v>
      </c>
      <c r="L32" s="7">
        <v>987734.48</v>
      </c>
      <c r="M32" s="10">
        <v>2.7099000000000002E-2</v>
      </c>
      <c r="N32" s="10">
        <v>0.213119</v>
      </c>
      <c r="O32" s="9">
        <v>13.758008999999999</v>
      </c>
      <c r="P32" s="10">
        <v>0.66147199999999995</v>
      </c>
    </row>
    <row r="33" spans="1:16">
      <c r="A33" t="s">
        <v>25</v>
      </c>
      <c r="B33">
        <v>2025</v>
      </c>
      <c r="C33" t="s">
        <v>27</v>
      </c>
      <c r="D33" s="7">
        <v>28206.1</v>
      </c>
      <c r="E33" s="7">
        <v>982813.58</v>
      </c>
      <c r="F33" s="7">
        <v>944120.29</v>
      </c>
      <c r="G33" s="7">
        <v>963466.94</v>
      </c>
      <c r="H33" s="7">
        <v>138141.37</v>
      </c>
      <c r="I33" s="7">
        <v>126860.24</v>
      </c>
      <c r="J33" s="7">
        <v>132500.81</v>
      </c>
      <c r="K33" s="7">
        <v>651269.19999999995</v>
      </c>
      <c r="L33" s="7">
        <v>1022142.85</v>
      </c>
      <c r="M33" s="10">
        <v>2.9276E-2</v>
      </c>
      <c r="N33" s="10">
        <v>0.21287500000000001</v>
      </c>
      <c r="O33" s="9">
        <v>13.798175000000001</v>
      </c>
      <c r="P33" s="10">
        <v>0.66265799999999997</v>
      </c>
    </row>
    <row r="34" spans="1:16">
      <c r="A34" t="s">
        <v>28</v>
      </c>
      <c r="B34">
        <v>2022</v>
      </c>
      <c r="C34" t="s">
        <v>30</v>
      </c>
      <c r="D34" s="7">
        <v>10759.89</v>
      </c>
      <c r="E34" s="7">
        <v>272691.93</v>
      </c>
      <c r="F34" s="7">
        <v>263420.84000000003</v>
      </c>
      <c r="G34" s="7">
        <v>268056.39</v>
      </c>
      <c r="H34" s="7">
        <v>81474.94</v>
      </c>
      <c r="I34" s="7">
        <v>73102.179999999993</v>
      </c>
      <c r="J34" s="7">
        <v>77288.56</v>
      </c>
      <c r="K34" s="7">
        <v>183071.74</v>
      </c>
      <c r="L34" s="7">
        <v>38707</v>
      </c>
      <c r="M34" s="10">
        <v>4.0140000000000002E-2</v>
      </c>
      <c r="N34" s="10">
        <v>0.13921700000000001</v>
      </c>
      <c r="O34" s="9">
        <v>12.516098</v>
      </c>
      <c r="P34" s="10">
        <v>0.67135</v>
      </c>
    </row>
    <row r="35" spans="1:16">
      <c r="A35" t="s">
        <v>28</v>
      </c>
      <c r="B35">
        <v>2023</v>
      </c>
      <c r="C35" t="s">
        <v>30</v>
      </c>
      <c r="D35" s="7">
        <v>15061.62</v>
      </c>
      <c r="E35" s="7">
        <v>279872.71999999997</v>
      </c>
      <c r="F35" s="7">
        <v>272691.93</v>
      </c>
      <c r="G35" s="7">
        <v>276282.33</v>
      </c>
      <c r="H35" s="7">
        <v>92272.9</v>
      </c>
      <c r="I35" s="7">
        <v>81474.94</v>
      </c>
      <c r="J35" s="7">
        <v>86873.919999999998</v>
      </c>
      <c r="K35" s="7">
        <v>179290.99</v>
      </c>
      <c r="L35" s="7">
        <v>48336.84</v>
      </c>
      <c r="M35" s="10">
        <v>5.4515000000000001E-2</v>
      </c>
      <c r="N35" s="10">
        <v>0.173373</v>
      </c>
      <c r="O35" s="9">
        <v>12.54209</v>
      </c>
      <c r="P35" s="10">
        <v>0.64061599999999996</v>
      </c>
    </row>
    <row r="36" spans="1:16">
      <c r="A36" t="s">
        <v>28</v>
      </c>
      <c r="B36">
        <v>2024</v>
      </c>
      <c r="C36" t="s">
        <v>30</v>
      </c>
      <c r="D36" s="7">
        <v>16729.05</v>
      </c>
      <c r="E36" s="7">
        <v>304236.03999999998</v>
      </c>
      <c r="F36" s="7">
        <v>279872.71999999997</v>
      </c>
      <c r="G36" s="7">
        <v>292054.38</v>
      </c>
      <c r="H36" s="7">
        <v>100581.62</v>
      </c>
      <c r="I36" s="7">
        <v>92272.9</v>
      </c>
      <c r="J36" s="7">
        <v>96427.26</v>
      </c>
      <c r="K36" s="7">
        <v>194407.06</v>
      </c>
      <c r="L36" s="7">
        <v>53849.68</v>
      </c>
      <c r="M36" s="10">
        <v>5.7280999999999999E-2</v>
      </c>
      <c r="N36" s="10">
        <v>0.173489</v>
      </c>
      <c r="O36" s="9">
        <v>12.625559000000001</v>
      </c>
      <c r="P36" s="10">
        <v>0.63900100000000004</v>
      </c>
    </row>
    <row r="37" spans="1:16">
      <c r="A37" t="s">
        <v>28</v>
      </c>
      <c r="B37">
        <v>2025</v>
      </c>
      <c r="C37" t="s">
        <v>30</v>
      </c>
      <c r="D37" s="7">
        <v>18841.259999999998</v>
      </c>
      <c r="E37" s="7">
        <v>302622.71000000002</v>
      </c>
      <c r="F37" s="7">
        <v>304236.03999999998</v>
      </c>
      <c r="G37" s="7">
        <v>303429.38</v>
      </c>
      <c r="H37" s="7">
        <v>109880.68</v>
      </c>
      <c r="I37" s="7">
        <v>100581.62</v>
      </c>
      <c r="J37" s="7">
        <v>105231.15</v>
      </c>
      <c r="K37" s="7">
        <v>183362.21</v>
      </c>
      <c r="L37" s="7">
        <v>54579.42</v>
      </c>
      <c r="M37" s="10">
        <v>6.2094000000000003E-2</v>
      </c>
      <c r="N37" s="10">
        <v>0.17904600000000001</v>
      </c>
      <c r="O37" s="9">
        <v>12.620241999999999</v>
      </c>
      <c r="P37" s="10">
        <v>0.60590999999999995</v>
      </c>
    </row>
    <row r="38" spans="1:16">
      <c r="A38" t="s">
        <v>31</v>
      </c>
      <c r="B38">
        <v>2022</v>
      </c>
      <c r="C38" t="s">
        <v>33</v>
      </c>
      <c r="D38" s="7">
        <v>26011.279999999999</v>
      </c>
      <c r="E38" s="7">
        <v>337043.66</v>
      </c>
      <c r="F38" s="7">
        <v>356221.74</v>
      </c>
      <c r="G38" s="7">
        <v>346632.7</v>
      </c>
      <c r="H38" s="7">
        <v>85688.72</v>
      </c>
      <c r="I38" s="7">
        <v>81698.75</v>
      </c>
      <c r="J38" s="7">
        <v>83693.740000000005</v>
      </c>
      <c r="K38" s="7">
        <v>251227.31</v>
      </c>
      <c r="L38" s="7">
        <v>186142.92</v>
      </c>
      <c r="M38" s="10">
        <v>7.5039999999999996E-2</v>
      </c>
      <c r="N38" s="10">
        <v>0.31079099999999998</v>
      </c>
      <c r="O38" s="9">
        <v>12.727968000000001</v>
      </c>
      <c r="P38" s="10">
        <v>0.74538499999999996</v>
      </c>
    </row>
    <row r="39" spans="1:16">
      <c r="A39" t="s">
        <v>31</v>
      </c>
      <c r="B39">
        <v>2023</v>
      </c>
      <c r="C39" t="s">
        <v>33</v>
      </c>
      <c r="D39" s="7">
        <v>29086.11</v>
      </c>
      <c r="E39" s="7">
        <v>454439.22</v>
      </c>
      <c r="F39" s="7">
        <v>337043.66</v>
      </c>
      <c r="G39" s="7">
        <v>395741.44</v>
      </c>
      <c r="H39" s="7">
        <v>90577.12</v>
      </c>
      <c r="I39" s="7">
        <v>85688.72</v>
      </c>
      <c r="J39" s="7">
        <v>88132.92</v>
      </c>
      <c r="K39" s="7">
        <v>363761.01</v>
      </c>
      <c r="L39" s="7">
        <v>189720.27</v>
      </c>
      <c r="M39" s="10">
        <v>7.3497999999999994E-2</v>
      </c>
      <c r="N39" s="10">
        <v>0.33002500000000001</v>
      </c>
      <c r="O39" s="9">
        <v>13.026819</v>
      </c>
      <c r="P39" s="10">
        <v>0.80046099999999998</v>
      </c>
    </row>
    <row r="40" spans="1:16">
      <c r="A40" t="s">
        <v>31</v>
      </c>
      <c r="B40">
        <v>2024</v>
      </c>
      <c r="C40" t="s">
        <v>33</v>
      </c>
      <c r="D40" s="7">
        <v>35075.360000000001</v>
      </c>
      <c r="E40" s="7">
        <v>431432.09</v>
      </c>
      <c r="F40" s="7">
        <v>454439.22</v>
      </c>
      <c r="G40" s="7">
        <v>442935.66</v>
      </c>
      <c r="H40" s="7">
        <v>97222.42</v>
      </c>
      <c r="I40" s="7">
        <v>90577.12</v>
      </c>
      <c r="J40" s="7">
        <v>93899.77</v>
      </c>
      <c r="K40" s="7">
        <v>334108.2</v>
      </c>
      <c r="L40" s="7">
        <v>214147.68</v>
      </c>
      <c r="M40" s="10">
        <v>7.9187999999999995E-2</v>
      </c>
      <c r="N40" s="10">
        <v>0.37353999999999998</v>
      </c>
      <c r="O40" s="9">
        <v>12.974864999999999</v>
      </c>
      <c r="P40" s="10">
        <v>0.77441700000000002</v>
      </c>
    </row>
    <row r="41" spans="1:16">
      <c r="A41" t="s">
        <v>31</v>
      </c>
      <c r="B41">
        <v>2025</v>
      </c>
      <c r="C41" t="s">
        <v>33</v>
      </c>
      <c r="D41" s="7">
        <v>47885.9</v>
      </c>
      <c r="E41" s="7">
        <v>420273.21</v>
      </c>
      <c r="F41" s="7">
        <v>431432.09</v>
      </c>
      <c r="G41" s="7">
        <v>425852.65</v>
      </c>
      <c r="H41" s="7">
        <v>107175.53</v>
      </c>
      <c r="I41" s="7">
        <v>97222.42</v>
      </c>
      <c r="J41" s="7">
        <v>102198.98</v>
      </c>
      <c r="K41" s="7">
        <v>312992.84000000003</v>
      </c>
      <c r="L41" s="7">
        <v>226998.24</v>
      </c>
      <c r="M41" s="10">
        <v>0.11244700000000001</v>
      </c>
      <c r="N41" s="10">
        <v>0.46855599999999997</v>
      </c>
      <c r="O41" s="9">
        <v>12.94866</v>
      </c>
      <c r="P41" s="10">
        <v>0.74473699999999998</v>
      </c>
    </row>
    <row r="42" spans="1:16">
      <c r="A42" t="s">
        <v>34</v>
      </c>
      <c r="B42">
        <v>2022</v>
      </c>
      <c r="C42" t="s">
        <v>8</v>
      </c>
      <c r="D42" s="7">
        <v>12575.16</v>
      </c>
      <c r="E42" s="7">
        <v>242344.35</v>
      </c>
      <c r="F42" s="7">
        <v>201785.31</v>
      </c>
      <c r="G42" s="7">
        <v>222064.83</v>
      </c>
      <c r="H42" s="7">
        <v>62703.83</v>
      </c>
      <c r="I42" s="7">
        <v>53467.1</v>
      </c>
      <c r="J42" s="7">
        <v>58085.47</v>
      </c>
      <c r="K42" s="7">
        <v>158966.26999999999</v>
      </c>
      <c r="L42" s="7">
        <v>314056.07</v>
      </c>
      <c r="M42" s="10">
        <v>5.6627999999999998E-2</v>
      </c>
      <c r="N42" s="10">
        <v>0.21649399999999999</v>
      </c>
      <c r="O42" s="9">
        <v>12.398115000000001</v>
      </c>
      <c r="P42" s="10">
        <v>0.65595199999999998</v>
      </c>
    </row>
    <row r="43" spans="1:16">
      <c r="A43" t="s">
        <v>34</v>
      </c>
      <c r="B43">
        <v>2023</v>
      </c>
      <c r="C43" t="s">
        <v>8</v>
      </c>
      <c r="D43" s="7">
        <v>13233.28</v>
      </c>
      <c r="E43" s="7">
        <v>340428.81</v>
      </c>
      <c r="F43" s="7">
        <v>242344.35</v>
      </c>
      <c r="G43" s="7">
        <v>291386.58</v>
      </c>
      <c r="H43" s="7">
        <v>72111.710000000006</v>
      </c>
      <c r="I43" s="7">
        <v>62703.83</v>
      </c>
      <c r="J43" s="7">
        <v>67407.77</v>
      </c>
      <c r="K43" s="7">
        <v>240397.01</v>
      </c>
      <c r="L43" s="7">
        <v>396021.86</v>
      </c>
      <c r="M43" s="10">
        <v>4.5414999999999997E-2</v>
      </c>
      <c r="N43" s="10">
        <v>0.19631699999999999</v>
      </c>
      <c r="O43" s="9">
        <v>12.737961</v>
      </c>
      <c r="P43" s="10">
        <v>0.70615899999999998</v>
      </c>
    </row>
    <row r="44" spans="1:16">
      <c r="A44" t="s">
        <v>34</v>
      </c>
      <c r="B44">
        <v>2024</v>
      </c>
      <c r="C44" t="s">
        <v>8</v>
      </c>
      <c r="D44" s="7">
        <v>2184.09</v>
      </c>
      <c r="E44" s="7">
        <v>316541.76</v>
      </c>
      <c r="F44" s="7">
        <v>340428.81</v>
      </c>
      <c r="G44" s="7">
        <v>328485.28999999998</v>
      </c>
      <c r="H44" s="7">
        <v>59744.52</v>
      </c>
      <c r="I44" s="7">
        <v>72111.710000000006</v>
      </c>
      <c r="J44" s="7">
        <v>65928.12</v>
      </c>
      <c r="K44" s="7">
        <v>230068.03</v>
      </c>
      <c r="L44" s="7">
        <v>594200.29</v>
      </c>
      <c r="M44" s="10">
        <v>6.6490000000000004E-3</v>
      </c>
      <c r="N44" s="10">
        <v>3.3127999999999998E-2</v>
      </c>
      <c r="O44" s="9">
        <v>12.66521</v>
      </c>
      <c r="P44" s="10">
        <v>0.72681700000000005</v>
      </c>
    </row>
    <row r="45" spans="1:16">
      <c r="A45" t="s">
        <v>34</v>
      </c>
      <c r="B45">
        <v>2025</v>
      </c>
      <c r="C45" t="s">
        <v>8</v>
      </c>
      <c r="D45" s="7">
        <v>2879.7</v>
      </c>
      <c r="E45" s="7">
        <v>298805.40000000002</v>
      </c>
      <c r="F45" s="7">
        <v>316541.76</v>
      </c>
      <c r="G45" s="7">
        <v>307673.58</v>
      </c>
      <c r="H45" s="7">
        <v>66936.39</v>
      </c>
      <c r="I45" s="7">
        <v>59744.52</v>
      </c>
      <c r="J45" s="7">
        <v>63340.46</v>
      </c>
      <c r="K45" s="7">
        <v>214664.08</v>
      </c>
      <c r="L45" s="7">
        <v>512350.28</v>
      </c>
      <c r="M45" s="10">
        <v>9.3600000000000003E-3</v>
      </c>
      <c r="N45" s="10">
        <v>4.5463999999999997E-2</v>
      </c>
      <c r="O45" s="9">
        <v>12.607548</v>
      </c>
      <c r="P45" s="10">
        <v>0.71840800000000005</v>
      </c>
    </row>
    <row r="46" spans="1:16">
      <c r="A46" t="s">
        <v>36</v>
      </c>
      <c r="B46">
        <v>2022</v>
      </c>
      <c r="C46" t="s">
        <v>38</v>
      </c>
      <c r="D46" s="7">
        <v>-11087.87</v>
      </c>
      <c r="E46" s="7">
        <v>183812.92</v>
      </c>
      <c r="F46" s="7">
        <v>195085.77</v>
      </c>
      <c r="G46" s="7">
        <v>189449.35</v>
      </c>
      <c r="H46" s="7">
        <v>101323.97</v>
      </c>
      <c r="I46" s="7">
        <v>112343.77</v>
      </c>
      <c r="J46" s="7">
        <v>106833.87</v>
      </c>
      <c r="K46" s="7">
        <v>81294.320000000007</v>
      </c>
      <c r="L46" s="7">
        <v>16992.5</v>
      </c>
      <c r="M46" s="10">
        <v>-5.8527000000000003E-2</v>
      </c>
      <c r="N46" s="10">
        <v>-0.103786</v>
      </c>
      <c r="O46" s="9">
        <v>12.121674000000001</v>
      </c>
      <c r="P46" s="10">
        <v>0.44226700000000002</v>
      </c>
    </row>
    <row r="47" spans="1:16">
      <c r="A47" t="s">
        <v>36</v>
      </c>
      <c r="B47">
        <v>2023</v>
      </c>
      <c r="C47" t="s">
        <v>38</v>
      </c>
      <c r="D47" s="7">
        <v>8790.8700000000008</v>
      </c>
      <c r="E47" s="7">
        <v>195611.09</v>
      </c>
      <c r="F47" s="7">
        <v>183812.92</v>
      </c>
      <c r="G47" s="7">
        <v>189712.01</v>
      </c>
      <c r="H47" s="7">
        <v>110464.78</v>
      </c>
      <c r="I47" s="7">
        <v>101323.97</v>
      </c>
      <c r="J47" s="7">
        <v>105894.38</v>
      </c>
      <c r="K47" s="7">
        <v>83432.899999999994</v>
      </c>
      <c r="L47" s="7">
        <v>48435.31</v>
      </c>
      <c r="M47" s="10">
        <v>4.6337999999999997E-2</v>
      </c>
      <c r="N47" s="10">
        <v>8.3015000000000005E-2</v>
      </c>
      <c r="O47" s="9">
        <v>12.183884000000001</v>
      </c>
      <c r="P47" s="10">
        <v>0.42652400000000001</v>
      </c>
    </row>
    <row r="48" spans="1:16">
      <c r="A48" t="s">
        <v>36</v>
      </c>
      <c r="B48">
        <v>2024</v>
      </c>
      <c r="C48" t="s">
        <v>38</v>
      </c>
      <c r="D48" s="7">
        <v>19182.39</v>
      </c>
      <c r="E48" s="7">
        <v>206149.84</v>
      </c>
      <c r="F48" s="7">
        <v>195611.09</v>
      </c>
      <c r="G48" s="7">
        <v>200880.47</v>
      </c>
      <c r="H48" s="7">
        <v>124233.01</v>
      </c>
      <c r="I48" s="7">
        <v>110464.78</v>
      </c>
      <c r="J48" s="7">
        <v>117348.9</v>
      </c>
      <c r="K48" s="7">
        <v>79750.92</v>
      </c>
      <c r="L48" s="7">
        <v>67733.919999999998</v>
      </c>
      <c r="M48" s="10">
        <v>9.5491999999999994E-2</v>
      </c>
      <c r="N48" s="10">
        <v>0.163465</v>
      </c>
      <c r="O48" s="9">
        <v>12.236359</v>
      </c>
      <c r="P48" s="10">
        <v>0.38685900000000001</v>
      </c>
    </row>
    <row r="49" spans="1:16">
      <c r="A49" t="s">
        <v>36</v>
      </c>
      <c r="B49">
        <v>2025</v>
      </c>
      <c r="C49" t="s">
        <v>38</v>
      </c>
      <c r="D49" s="7">
        <v>18125.21</v>
      </c>
      <c r="E49" s="7">
        <v>209932.23</v>
      </c>
      <c r="F49" s="7">
        <v>206149.84</v>
      </c>
      <c r="G49" s="7">
        <v>208041.04</v>
      </c>
      <c r="H49" s="7">
        <v>130898.23</v>
      </c>
      <c r="I49" s="7">
        <v>124233.01</v>
      </c>
      <c r="J49" s="7">
        <v>127565.62</v>
      </c>
      <c r="K49" s="7">
        <v>77091.34</v>
      </c>
      <c r="L49" s="7">
        <v>67491.210000000006</v>
      </c>
      <c r="M49" s="10">
        <v>8.7123000000000006E-2</v>
      </c>
      <c r="N49" s="10">
        <v>0.14208499999999999</v>
      </c>
      <c r="O49" s="9">
        <v>12.25454</v>
      </c>
      <c r="P49" s="10">
        <v>0.36721999999999999</v>
      </c>
    </row>
    <row r="50" spans="1:16">
      <c r="A50" t="s">
        <v>39</v>
      </c>
      <c r="B50">
        <v>2022</v>
      </c>
      <c r="C50" t="s">
        <v>18</v>
      </c>
      <c r="D50" s="7">
        <v>29305.59</v>
      </c>
      <c r="E50" s="7">
        <v>4421752.09</v>
      </c>
      <c r="F50" s="7">
        <v>4333280.91</v>
      </c>
      <c r="G50" s="7">
        <v>4377516.5</v>
      </c>
      <c r="H50" s="7">
        <v>505345.98</v>
      </c>
      <c r="I50" s="7">
        <v>492727.07</v>
      </c>
      <c r="J50" s="7">
        <v>499036.53</v>
      </c>
      <c r="K50" s="7">
        <v>3914610.14</v>
      </c>
      <c r="L50" s="7">
        <v>185492.9</v>
      </c>
      <c r="M50" s="10">
        <v>6.6950000000000004E-3</v>
      </c>
      <c r="N50" s="10">
        <v>5.8723999999999998E-2</v>
      </c>
      <c r="O50" s="9">
        <v>15.302047</v>
      </c>
      <c r="P50" s="10">
        <v>0.88530699999999996</v>
      </c>
    </row>
    <row r="51" spans="1:16">
      <c r="A51" t="s">
        <v>39</v>
      </c>
      <c r="B51">
        <v>2023</v>
      </c>
      <c r="C51" t="s">
        <v>18</v>
      </c>
      <c r="D51" s="7">
        <v>41635.519999999997</v>
      </c>
      <c r="E51" s="7">
        <v>4514484.38</v>
      </c>
      <c r="F51" s="7">
        <v>4421752.09</v>
      </c>
      <c r="G51" s="7">
        <v>4468118.24</v>
      </c>
      <c r="H51" s="7">
        <v>528974.77</v>
      </c>
      <c r="I51" s="7">
        <v>505345.98</v>
      </c>
      <c r="J51" s="7">
        <v>517160.38</v>
      </c>
      <c r="K51" s="7">
        <v>3983654.35</v>
      </c>
      <c r="L51" s="7">
        <v>241407.88</v>
      </c>
      <c r="M51" s="10">
        <v>9.3179999999999999E-3</v>
      </c>
      <c r="N51" s="10">
        <v>8.0507999999999996E-2</v>
      </c>
      <c r="O51" s="9">
        <v>15.322801999999999</v>
      </c>
      <c r="P51" s="10">
        <v>0.88241599999999998</v>
      </c>
    </row>
    <row r="52" spans="1:16">
      <c r="A52" t="s">
        <v>39</v>
      </c>
      <c r="B52">
        <v>2024</v>
      </c>
      <c r="C52" t="s">
        <v>18</v>
      </c>
      <c r="D52" s="7">
        <v>45211.15</v>
      </c>
      <c r="E52" s="7">
        <v>4551379.3099999996</v>
      </c>
      <c r="F52" s="7">
        <v>4514484.38</v>
      </c>
      <c r="G52" s="7">
        <v>4532931.8499999996</v>
      </c>
      <c r="H52" s="7">
        <v>555039.32999999996</v>
      </c>
      <c r="I52" s="7">
        <v>528974.77</v>
      </c>
      <c r="J52" s="7">
        <v>542007.05000000005</v>
      </c>
      <c r="K52" s="7">
        <v>3994506.03</v>
      </c>
      <c r="L52" s="7">
        <v>256070.98</v>
      </c>
      <c r="M52" s="10">
        <v>9.9740000000000002E-3</v>
      </c>
      <c r="N52" s="10">
        <v>8.3414000000000002E-2</v>
      </c>
      <c r="O52" s="9">
        <v>15.330940999999999</v>
      </c>
      <c r="P52" s="10">
        <v>0.87764699999999995</v>
      </c>
    </row>
    <row r="53" spans="1:16">
      <c r="A53" t="s">
        <v>39</v>
      </c>
      <c r="B53">
        <v>2025</v>
      </c>
      <c r="C53" t="s">
        <v>18</v>
      </c>
      <c r="D53" s="7">
        <v>46006.51</v>
      </c>
      <c r="E53" s="7">
        <v>4606342.46</v>
      </c>
      <c r="F53" s="7">
        <v>4551379.3099999996</v>
      </c>
      <c r="G53" s="7">
        <v>4578860.8899999997</v>
      </c>
      <c r="H53" s="7">
        <v>573922.62</v>
      </c>
      <c r="I53" s="7">
        <v>555039.32999999996</v>
      </c>
      <c r="J53" s="7">
        <v>564480.98</v>
      </c>
      <c r="K53" s="7">
        <v>4030658.6</v>
      </c>
      <c r="L53" s="7">
        <v>238144.53</v>
      </c>
      <c r="M53" s="10">
        <v>1.0048E-2</v>
      </c>
      <c r="N53" s="10">
        <v>8.1502000000000005E-2</v>
      </c>
      <c r="O53" s="9">
        <v>15.342945</v>
      </c>
      <c r="P53" s="10">
        <v>0.87502400000000002</v>
      </c>
    </row>
    <row r="54" spans="1:16">
      <c r="A54" t="s">
        <v>41</v>
      </c>
      <c r="B54">
        <v>2022</v>
      </c>
      <c r="C54" t="s">
        <v>43</v>
      </c>
      <c r="D54" s="7">
        <v>15344.55</v>
      </c>
      <c r="E54" s="7">
        <v>90984.48</v>
      </c>
      <c r="F54" s="7">
        <v>69338.37</v>
      </c>
      <c r="G54" s="7">
        <v>80161.429999999993</v>
      </c>
      <c r="H54" s="7">
        <v>54679.76</v>
      </c>
      <c r="I54" s="7">
        <v>41404.300000000003</v>
      </c>
      <c r="J54" s="7">
        <v>48042.03</v>
      </c>
      <c r="K54" s="7">
        <v>36304.720000000001</v>
      </c>
      <c r="L54" s="7">
        <v>119501.16</v>
      </c>
      <c r="M54" s="10">
        <v>0.19142100000000001</v>
      </c>
      <c r="N54" s="10">
        <v>0.31939800000000002</v>
      </c>
      <c r="O54" s="9">
        <v>11.418443999999999</v>
      </c>
      <c r="P54" s="10">
        <v>0.39902100000000001</v>
      </c>
    </row>
    <row r="55" spans="1:16">
      <c r="A55" t="s">
        <v>41</v>
      </c>
      <c r="B55">
        <v>2023</v>
      </c>
      <c r="C55" t="s">
        <v>43</v>
      </c>
      <c r="D55" s="7">
        <v>18422.54</v>
      </c>
      <c r="E55" s="7">
        <v>108144.99</v>
      </c>
      <c r="F55" s="7">
        <v>90984.48</v>
      </c>
      <c r="G55" s="7">
        <v>99564.74</v>
      </c>
      <c r="H55" s="7">
        <v>67538.55</v>
      </c>
      <c r="I55" s="7">
        <v>54679.76</v>
      </c>
      <c r="J55" s="7">
        <v>61109.16</v>
      </c>
      <c r="K55" s="7">
        <v>40606.44</v>
      </c>
      <c r="L55" s="7">
        <v>147675.04</v>
      </c>
      <c r="M55" s="10">
        <v>0.185031</v>
      </c>
      <c r="N55" s="10">
        <v>0.30146899999999999</v>
      </c>
      <c r="O55" s="9">
        <v>11.591227999999999</v>
      </c>
      <c r="P55" s="10">
        <v>0.37548100000000001</v>
      </c>
    </row>
    <row r="56" spans="1:16">
      <c r="A56" t="s">
        <v>41</v>
      </c>
      <c r="B56">
        <v>2024</v>
      </c>
      <c r="C56" t="s">
        <v>43</v>
      </c>
      <c r="D56" s="7">
        <v>18938.580000000002</v>
      </c>
      <c r="E56" s="7">
        <v>123096.69</v>
      </c>
      <c r="F56" s="7">
        <v>108144.99</v>
      </c>
      <c r="G56" s="7">
        <v>115620.84</v>
      </c>
      <c r="H56" s="7">
        <v>79941.81</v>
      </c>
      <c r="I56" s="7">
        <v>67538.55</v>
      </c>
      <c r="J56" s="7">
        <v>73740.179999999993</v>
      </c>
      <c r="K56" s="7">
        <v>43154.87</v>
      </c>
      <c r="L56" s="7">
        <v>167021.79</v>
      </c>
      <c r="M56" s="10">
        <v>0.163799</v>
      </c>
      <c r="N56" s="10">
        <v>0.25682899999999997</v>
      </c>
      <c r="O56" s="9">
        <v>11.720725</v>
      </c>
      <c r="P56" s="10">
        <v>0.35057700000000003</v>
      </c>
    </row>
    <row r="57" spans="1:16">
      <c r="A57" t="s">
        <v>41</v>
      </c>
      <c r="B57">
        <v>2025</v>
      </c>
      <c r="C57" t="s">
        <v>43</v>
      </c>
      <c r="D57" s="7">
        <v>24814.32</v>
      </c>
      <c r="E57" s="7">
        <v>154130.93</v>
      </c>
      <c r="F57" s="7">
        <v>123096.69</v>
      </c>
      <c r="G57" s="7">
        <v>138613.81</v>
      </c>
      <c r="H57" s="7">
        <v>96726.91</v>
      </c>
      <c r="I57" s="7">
        <v>79941.81</v>
      </c>
      <c r="J57" s="7">
        <v>88334.36</v>
      </c>
      <c r="K57" s="7">
        <v>57404.03</v>
      </c>
      <c r="L57" s="7">
        <v>200819.48</v>
      </c>
      <c r="M57" s="10">
        <v>0.17901800000000001</v>
      </c>
      <c r="N57" s="10">
        <v>0.280914</v>
      </c>
      <c r="O57" s="9">
        <v>11.945558</v>
      </c>
      <c r="P57" s="10">
        <v>0.37243700000000002</v>
      </c>
    </row>
    <row r="58" spans="1:16">
      <c r="A58" t="s">
        <v>44</v>
      </c>
      <c r="B58">
        <v>2022</v>
      </c>
      <c r="C58" t="s">
        <v>46</v>
      </c>
      <c r="D58" s="7">
        <v>12606.2</v>
      </c>
      <c r="E58" s="7">
        <v>141542.85999999999</v>
      </c>
      <c r="F58" s="7">
        <v>128453.62</v>
      </c>
      <c r="G58" s="7">
        <v>134998.24</v>
      </c>
      <c r="H58" s="7">
        <v>99879.25</v>
      </c>
      <c r="I58" s="7">
        <v>83845.19</v>
      </c>
      <c r="J58" s="7">
        <v>91862.22</v>
      </c>
      <c r="K58" s="7">
        <v>47830.07</v>
      </c>
      <c r="L58" s="7">
        <v>93055.58</v>
      </c>
      <c r="M58" s="10">
        <v>9.3380000000000005E-2</v>
      </c>
      <c r="N58" s="10">
        <v>0.13722899999999999</v>
      </c>
      <c r="O58" s="9">
        <v>11.860358</v>
      </c>
      <c r="P58" s="10">
        <v>0.33791900000000002</v>
      </c>
    </row>
    <row r="59" spans="1:16">
      <c r="A59" t="s">
        <v>44</v>
      </c>
      <c r="B59">
        <v>2023</v>
      </c>
      <c r="C59" t="s">
        <v>46</v>
      </c>
      <c r="D59" s="7">
        <v>14357.74</v>
      </c>
      <c r="E59" s="7">
        <v>143792.41</v>
      </c>
      <c r="F59" s="7">
        <v>141542.85999999999</v>
      </c>
      <c r="G59" s="7">
        <v>142667.64000000001</v>
      </c>
      <c r="H59" s="7">
        <v>95441.84</v>
      </c>
      <c r="I59" s="7">
        <v>99879.25</v>
      </c>
      <c r="J59" s="7">
        <v>97660.55</v>
      </c>
      <c r="K59" s="7">
        <v>44701.18</v>
      </c>
      <c r="L59" s="7">
        <v>102327.27</v>
      </c>
      <c r="M59" s="10">
        <v>0.10063800000000001</v>
      </c>
      <c r="N59" s="10">
        <v>0.14701700000000001</v>
      </c>
      <c r="O59" s="9">
        <v>11.876125999999999</v>
      </c>
      <c r="P59" s="10">
        <v>0.31087300000000001</v>
      </c>
    </row>
    <row r="60" spans="1:16">
      <c r="A60" t="s">
        <v>44</v>
      </c>
      <c r="B60">
        <v>2024</v>
      </c>
      <c r="C60" t="s">
        <v>46</v>
      </c>
      <c r="D60" s="7">
        <v>15987.01</v>
      </c>
      <c r="E60" s="7">
        <v>151514.07</v>
      </c>
      <c r="F60" s="7">
        <v>143792.41</v>
      </c>
      <c r="G60" s="7">
        <v>147653.24</v>
      </c>
      <c r="H60" s="7">
        <v>100036.58</v>
      </c>
      <c r="I60" s="7">
        <v>95441.84</v>
      </c>
      <c r="J60" s="7">
        <v>97739.21</v>
      </c>
      <c r="K60" s="7">
        <v>47587.56</v>
      </c>
      <c r="L60" s="7">
        <v>109587.61</v>
      </c>
      <c r="M60" s="10">
        <v>0.108274</v>
      </c>
      <c r="N60" s="10">
        <v>0.16356799999999999</v>
      </c>
      <c r="O60" s="9">
        <v>11.928433999999999</v>
      </c>
      <c r="P60" s="10">
        <v>0.31408000000000003</v>
      </c>
    </row>
    <row r="61" spans="1:16">
      <c r="A61" t="s">
        <v>44</v>
      </c>
      <c r="B61">
        <v>2025</v>
      </c>
      <c r="C61" t="s">
        <v>46</v>
      </c>
      <c r="D61" s="7">
        <v>15848.22</v>
      </c>
      <c r="E61" s="7">
        <v>157961.09</v>
      </c>
      <c r="F61" s="7">
        <v>151514.07</v>
      </c>
      <c r="G61" s="7">
        <v>154737.57999999999</v>
      </c>
      <c r="H61" s="7">
        <v>105894.28</v>
      </c>
      <c r="I61" s="7">
        <v>100036.58</v>
      </c>
      <c r="J61" s="7">
        <v>102965.43</v>
      </c>
      <c r="K61" s="7">
        <v>47952.32</v>
      </c>
      <c r="L61" s="7">
        <v>113385.87</v>
      </c>
      <c r="M61" s="10">
        <v>0.10242</v>
      </c>
      <c r="N61" s="10">
        <v>0.153918</v>
      </c>
      <c r="O61" s="9">
        <v>11.970103999999999</v>
      </c>
      <c r="P61" s="10">
        <v>0.30357000000000001</v>
      </c>
    </row>
    <row r="63" spans="1:16" ht="15">
      <c r="A63" s="6"/>
      <c r="B63" s="6"/>
      <c r="C63" s="6"/>
      <c r="D63" s="6"/>
      <c r="E63" s="6"/>
      <c r="F63" s="6"/>
      <c r="G63" s="6"/>
      <c r="H63" s="6"/>
      <c r="I63" s="6"/>
      <c r="J63" s="6"/>
      <c r="K63" s="6"/>
      <c r="L63" s="6"/>
      <c r="M63" s="6"/>
      <c r="N63" s="6"/>
    </row>
    <row r="64" spans="1:16" ht="15">
      <c r="A64" s="6"/>
      <c r="B64" s="7"/>
      <c r="C64" s="7"/>
      <c r="D64" s="7"/>
      <c r="E64" s="11"/>
      <c r="F64" s="7"/>
      <c r="G64" s="7"/>
      <c r="H64" s="11"/>
      <c r="I64" s="7"/>
      <c r="J64" s="7"/>
      <c r="K64" s="8"/>
      <c r="L64" s="8"/>
      <c r="M64" s="6"/>
      <c r="N64" s="8"/>
    </row>
    <row r="65" spans="1:14" ht="15">
      <c r="A65" s="6"/>
      <c r="B65" s="7"/>
      <c r="C65" s="7"/>
      <c r="D65" s="7"/>
      <c r="E65" s="11"/>
      <c r="F65" s="7"/>
      <c r="G65" s="7"/>
      <c r="H65" s="11"/>
      <c r="I65" s="7"/>
      <c r="J65" s="7"/>
      <c r="K65" s="8"/>
      <c r="L65" s="8"/>
      <c r="M65" s="6"/>
      <c r="N65" s="8"/>
    </row>
    <row r="66" spans="1:14" ht="15">
      <c r="A66" s="6"/>
      <c r="B66" s="7"/>
      <c r="C66" s="7"/>
      <c r="D66" s="7"/>
      <c r="E66" s="11"/>
      <c r="F66" s="7"/>
      <c r="G66" s="7"/>
      <c r="H66" s="11"/>
      <c r="I66" s="7"/>
      <c r="J66" s="7"/>
      <c r="K66" s="8"/>
      <c r="L66" s="8"/>
      <c r="M66" s="6"/>
      <c r="N66" s="8"/>
    </row>
    <row r="67" spans="1:14" ht="15">
      <c r="A67" s="6"/>
      <c r="B67" s="7"/>
      <c r="C67" s="7"/>
      <c r="D67" s="7"/>
      <c r="E67" s="11"/>
      <c r="F67" s="7"/>
      <c r="G67" s="7"/>
      <c r="H67" s="11"/>
      <c r="I67" s="7"/>
      <c r="J67" s="7"/>
      <c r="K67" s="8"/>
      <c r="L67" s="8"/>
      <c r="M67" s="6"/>
      <c r="N67" s="8"/>
    </row>
    <row r="68" spans="1:14" ht="15">
      <c r="A68" s="6"/>
      <c r="B68" s="7"/>
      <c r="C68" s="7"/>
      <c r="D68" s="7"/>
      <c r="E68" s="11"/>
      <c r="F68" s="7"/>
      <c r="G68" s="7"/>
      <c r="H68" s="11"/>
      <c r="I68" s="7"/>
      <c r="J68" s="7"/>
      <c r="K68" s="8"/>
      <c r="L68" s="8"/>
      <c r="M68" s="6"/>
      <c r="N68" s="8"/>
    </row>
    <row r="69" spans="1:14" ht="15">
      <c r="A69" s="6"/>
      <c r="B69" s="7"/>
      <c r="C69" s="7"/>
      <c r="D69" s="7"/>
      <c r="E69" s="7"/>
      <c r="F69" s="7"/>
      <c r="G69" s="7"/>
      <c r="H69" s="7"/>
      <c r="I69" s="7"/>
      <c r="J69" s="7"/>
      <c r="K69" s="8"/>
      <c r="L69" s="8"/>
      <c r="M69" s="6"/>
      <c r="N69"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
  <sheetViews>
    <sheetView workbookViewId="0">
      <selection activeCell="I1" sqref="I1"/>
    </sheetView>
  </sheetViews>
  <sheetFormatPr baseColWidth="10" defaultColWidth="8.83203125" defaultRowHeight="14"/>
  <cols>
    <col min="1" max="2" width="18" customWidth="1"/>
    <col min="3" max="3" width="24" customWidth="1"/>
    <col min="4" max="4" width="82" customWidth="1"/>
    <col min="5" max="8" width="16" customWidth="1"/>
    <col min="9" max="9" width="36" customWidth="1"/>
  </cols>
  <sheetData>
    <row r="1" spans="1:9" ht="18">
      <c r="A1" s="2" t="s">
        <v>1770</v>
      </c>
      <c r="B1" s="2" t="s">
        <v>2</v>
      </c>
      <c r="C1" s="2" t="s">
        <v>3</v>
      </c>
      <c r="D1" s="2" t="s">
        <v>1771</v>
      </c>
      <c r="E1" s="2" t="s">
        <v>1772</v>
      </c>
      <c r="F1" s="2" t="s">
        <v>1773</v>
      </c>
      <c r="G1" s="2" t="s">
        <v>1774</v>
      </c>
      <c r="H1" s="2" t="s">
        <v>1775</v>
      </c>
      <c r="I1" s="13"/>
    </row>
    <row r="2" spans="1:9" ht="15">
      <c r="A2" s="1" t="s">
        <v>47</v>
      </c>
      <c r="B2" s="1" t="s">
        <v>49</v>
      </c>
      <c r="C2" s="1" t="s">
        <v>18</v>
      </c>
      <c r="D2" s="1" t="s">
        <v>1776</v>
      </c>
      <c r="E2" s="4">
        <f>SUMIFS(Summary!$I$2:$I$81,Summary!$B$2:$B$81,$A2,Summary!$C$2:$C$81,2022)</f>
        <v>60</v>
      </c>
      <c r="F2" s="4">
        <f>SUMIFS(Summary!$I$2:$I$81,Summary!$B$2:$B$81,$A2,Summary!$C$2:$C$81,2023)</f>
        <v>60</v>
      </c>
      <c r="G2" s="4">
        <f>SUMIFS(Summary!$I$2:$I$81,Summary!$B$2:$B$81,$A2,Summary!$C$2:$C$81,2024)</f>
        <v>80</v>
      </c>
      <c r="H2" s="4">
        <f>SUMIFS(Summary!$I$2:$I$81,Summary!$B$2:$B$81,$A2,Summary!$C$2:$C$81,2025)</f>
        <v>70</v>
      </c>
    </row>
    <row r="3" spans="1:9" ht="15">
      <c r="A3" s="1" t="s">
        <v>52</v>
      </c>
      <c r="B3" s="1" t="s">
        <v>54</v>
      </c>
      <c r="C3" s="1" t="s">
        <v>24</v>
      </c>
      <c r="D3" s="1" t="s">
        <v>1777</v>
      </c>
      <c r="E3" s="4">
        <f>SUMIFS(Summary!$I$2:$I$81,Summary!$B$2:$B$81,$A3,Summary!$C$2:$C$81,2022)</f>
        <v>40</v>
      </c>
      <c r="F3" s="4">
        <f>SUMIFS(Summary!$I$2:$I$81,Summary!$B$2:$B$81,$A3,Summary!$C$2:$C$81,2023)</f>
        <v>50</v>
      </c>
      <c r="G3" s="4">
        <f>SUMIFS(Summary!$I$2:$I$81,Summary!$B$2:$B$81,$A3,Summary!$C$2:$C$81,2024)</f>
        <v>40</v>
      </c>
      <c r="H3" s="4">
        <f>SUMIFS(Summary!$I$2:$I$81,Summary!$B$2:$B$81,$A3,Summary!$C$2:$C$81,2025)</f>
        <v>40</v>
      </c>
    </row>
    <row r="4" spans="1:9" ht="15">
      <c r="A4" s="1" t="s">
        <v>55</v>
      </c>
      <c r="B4" s="1" t="s">
        <v>49</v>
      </c>
      <c r="C4" s="1" t="s">
        <v>57</v>
      </c>
      <c r="D4" s="1" t="s">
        <v>1778</v>
      </c>
      <c r="E4" s="4">
        <f>SUMIFS(Summary!$I$2:$I$81,Summary!$B$2:$B$81,$A4,Summary!$C$2:$C$81,2022)</f>
        <v>50</v>
      </c>
      <c r="F4" s="4">
        <f>SUMIFS(Summary!$I$2:$I$81,Summary!$B$2:$B$81,$A4,Summary!$C$2:$C$81,2023)</f>
        <v>70</v>
      </c>
      <c r="G4" s="4">
        <f>SUMIFS(Summary!$I$2:$I$81,Summary!$B$2:$B$81,$A4,Summary!$C$2:$C$81,2024)</f>
        <v>80</v>
      </c>
      <c r="H4" s="4">
        <f>SUMIFS(Summary!$I$2:$I$81,Summary!$B$2:$B$81,$A4,Summary!$C$2:$C$81,2025)</f>
        <v>40</v>
      </c>
    </row>
    <row r="5" spans="1:9" ht="15">
      <c r="A5" s="1" t="s">
        <v>58</v>
      </c>
      <c r="B5" s="1" t="s">
        <v>60</v>
      </c>
      <c r="C5" s="1" t="s">
        <v>61</v>
      </c>
      <c r="D5" s="1" t="s">
        <v>1779</v>
      </c>
      <c r="E5" s="4">
        <f>SUMIFS(Summary!$I$2:$I$81,Summary!$B$2:$B$81,$A5,Summary!$C$2:$C$81,2022)</f>
        <v>70</v>
      </c>
      <c r="F5" s="4">
        <f>SUMIFS(Summary!$I$2:$I$81,Summary!$B$2:$B$81,$A5,Summary!$C$2:$C$81,2023)</f>
        <v>70</v>
      </c>
      <c r="G5" s="4">
        <f>SUMIFS(Summary!$I$2:$I$81,Summary!$B$2:$B$81,$A5,Summary!$C$2:$C$81,2024)</f>
        <v>70</v>
      </c>
      <c r="H5" s="4">
        <f>SUMIFS(Summary!$I$2:$I$81,Summary!$B$2:$B$81,$A5,Summary!$C$2:$C$81,2025)</f>
        <v>60</v>
      </c>
    </row>
    <row r="6" spans="1:9" ht="30">
      <c r="A6" s="1" t="s">
        <v>62</v>
      </c>
      <c r="B6" s="1" t="s">
        <v>64</v>
      </c>
      <c r="C6" s="1" t="s">
        <v>65</v>
      </c>
      <c r="D6" s="1" t="s">
        <v>1780</v>
      </c>
      <c r="E6" s="4">
        <f>SUMIFS(Summary!$I$2:$I$81,Summary!$B$2:$B$81,$A6,Summary!$C$2:$C$81,2022)</f>
        <v>60</v>
      </c>
      <c r="F6" s="4">
        <f>SUMIFS(Summary!$I$2:$I$81,Summary!$B$2:$B$81,$A6,Summary!$C$2:$C$81,2023)</f>
        <v>40</v>
      </c>
      <c r="G6" s="4">
        <f>SUMIFS(Summary!$I$2:$I$81,Summary!$B$2:$B$81,$A6,Summary!$C$2:$C$81,2024)</f>
        <v>50</v>
      </c>
      <c r="H6" s="4">
        <f>SUMIFS(Summary!$I$2:$I$81,Summary!$B$2:$B$81,$A6,Summary!$C$2:$C$81,2025)</f>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Criteria_Manual</vt:lpstr>
      <vt:lpstr>Official_Report_Sources</vt:lpstr>
      <vt:lpstr>PDF_Download_Manifest</vt:lpstr>
      <vt:lpstr>Coding_800</vt:lpstr>
      <vt:lpstr>Summary</vt:lpstr>
      <vt:lpstr>Financial_Data_Thai</vt:lpstr>
      <vt:lpstr>Benchmark_Comparison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2026-08-11T15:09:47Z</dcterms:created>
  <dcterms:modified xsi:type="dcterms:W3CDTF">2026-09-01T07:24:24Z</dcterms:modified>
</cp:coreProperties>
</file>